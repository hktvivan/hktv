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lam\Documents\Timesheet\Ticket\PSOS-755\"/>
    </mc:Choice>
  </mc:AlternateContent>
  <xr:revisionPtr revIDLastSave="0" documentId="13_ncr:1_{A94D94F0-6743-45CD-AE43-0926DF36CC7E}" xr6:coauthVersionLast="47" xr6:coauthVersionMax="47" xr10:uidLastSave="{00000000-0000-0000-0000-000000000000}"/>
  <bookViews>
    <workbookView xWindow="-120" yWindow="-120" windowWidth="29040" windowHeight="15720" activeTab="1" xr2:uid="{BCCDD889-C5A5-483A-A4E4-DAC18F34A44B}"/>
  </bookViews>
  <sheets>
    <sheet name="store" sheetId="2" r:id="rId1"/>
    <sheet name="60 sku - o qty &gt;0" sheetId="1" r:id="rId2"/>
    <sheet name="related inventory log 25 Nov" sheetId="3" r:id="rId3"/>
    <sheet name="60 duplicate arriving" sheetId="4" r:id="rId4"/>
  </sheets>
  <definedNames>
    <definedName name="_xlnm._FilterDatabase" localSheetId="3" hidden="1">'60 duplicate arriving'!$A$1:$L$1</definedName>
    <definedName name="_xlnm._FilterDatabase" localSheetId="2" hidden="1">'related inventory log 25 Nov'!$A$1:$L$181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2" i="1"/>
</calcChain>
</file>

<file path=xl/sharedStrings.xml><?xml version="1.0" encoding="utf-8"?>
<sst xmlns="http://schemas.openxmlformats.org/spreadsheetml/2006/main" count="2099" uniqueCount="250">
  <si>
    <t>貨品編號</t>
  </si>
  <si>
    <t>貨品名稱</t>
  </si>
  <si>
    <t>POS倉存 </t>
  </si>
  <si>
    <t>已往未完成補貨量 </t>
  </si>
  <si>
    <t>倉存上限 </t>
  </si>
  <si>
    <t>開始補貨量 </t>
  </si>
  <si>
    <t>補貨最少單位(MOQ) </t>
  </si>
  <si>
    <t>目標補貨量</t>
  </si>
  <si>
    <t>申請補貨量 </t>
  </si>
  <si>
    <t>執貨中</t>
  </si>
  <si>
    <t>已取消 </t>
  </si>
  <si>
    <t>已簽收 </t>
  </si>
  <si>
    <t>狀態</t>
  </si>
  <si>
    <t>送貨日期</t>
  </si>
  <si>
    <t>貨架/備註</t>
  </si>
  <si>
    <t>IMAX同步</t>
  </si>
  <si>
    <t>H0888001_S_10158528</t>
  </si>
  <si>
    <t>尤加利橙花納米銀除菌除蟎洗衣珠 - 15g x 60粒</t>
  </si>
  <si>
    <t>COMPLETED</t>
  </si>
  <si>
    <t>11W5</t>
  </si>
  <si>
    <t>yes</t>
  </si>
  <si>
    <t>H0888001_S_10158529</t>
  </si>
  <si>
    <t>清新花香納米銀除菌除蟎洗衣珠 - 15g x 60粒</t>
  </si>
  <si>
    <t>H0888001_S_10142982</t>
  </si>
  <si>
    <t>鹽焗腰果</t>
  </si>
  <si>
    <t>2X</t>
  </si>
  <si>
    <t>H0888001_S_10142983</t>
  </si>
  <si>
    <t>ANDI 無添加鹽腰果</t>
  </si>
  <si>
    <t>H0888001_S_10158856</t>
  </si>
  <si>
    <t>咸蛋曲奇100克</t>
  </si>
  <si>
    <t>H0888001_S_10141432</t>
  </si>
  <si>
    <t>秘製鮑汁鮑魚</t>
  </si>
  <si>
    <t>New Shop Offer</t>
  </si>
  <si>
    <t>H0888001_S_10141431</t>
  </si>
  <si>
    <t>紅燒元貝鮑魚</t>
  </si>
  <si>
    <t>H0888001_S_10010656</t>
  </si>
  <si>
    <t>特選3.6牛乳 (1000ml)</t>
  </si>
  <si>
    <t>H0888001_S_10156232</t>
  </si>
  <si>
    <t>[意大利進口] 100%牛油果油</t>
  </si>
  <si>
    <t>H0888001_S_10159301</t>
  </si>
  <si>
    <t>掛牆式極吸萬用廚紙#紙巾#廚房必備#吸油吸水#5重食品級安全認證#氣炸</t>
  </si>
  <si>
    <t>H0888001_S_10159774</t>
  </si>
  <si>
    <t>咚兵衛杯烏冬 - 日式腐皮 (新舊包裝隨機派送!)</t>
  </si>
  <si>
    <t>H0888001_S_10159775</t>
  </si>
  <si>
    <t>咚兵衛杯烏冬 - 天婦羅</t>
  </si>
  <si>
    <t>H0888001_S_10160698</t>
  </si>
  <si>
    <t>維達 - 掛牆式面紙</t>
  </si>
  <si>
    <t>H0888001_S_10160755</t>
  </si>
  <si>
    <t>[日本進口]檸檬果汁碳酸飲料 #消水腫神物</t>
  </si>
  <si>
    <t>H0888001_S_10161394</t>
  </si>
  <si>
    <t>[日本進口] 檸檬果汁碳酸飲料(疲勞感減輕)</t>
  </si>
  <si>
    <t>H0888001_S_10003468</t>
  </si>
  <si>
    <t>淳。茶舍 - 銀毫茉莉綠茶飲料(無糖)</t>
  </si>
  <si>
    <t>H0888001_S_10007706</t>
  </si>
  <si>
    <t>豆奶</t>
  </si>
  <si>
    <t>H0888001_S_10008402</t>
  </si>
  <si>
    <t>Rakunoh Mother - 大阿蘇牛乳 (1000ml)</t>
  </si>
  <si>
    <t>H0888001_S_10133420</t>
  </si>
  <si>
    <t>無糖茶-香片</t>
  </si>
  <si>
    <t>H0888001_S_10151780</t>
  </si>
  <si>
    <t>[日本直送]100% 青森蘋果汁</t>
  </si>
  <si>
    <t>H0888001_S_10153204</t>
  </si>
  <si>
    <t>[澳洲進口] 皇牌香菇脆脆-原味 #健康 #無添加味精 #無添加人工色素及香料</t>
  </si>
  <si>
    <t>H0888001_S_10153210</t>
  </si>
  <si>
    <t>[澳洲直送] 士多啤梨脆脆 #健康#無添加味精 #無添加人工色素及香料</t>
  </si>
  <si>
    <t>H0888001_S_10154143</t>
  </si>
  <si>
    <t>韓國製造 純水濕紙巾</t>
  </si>
  <si>
    <t>H0888001_S_10155562</t>
  </si>
  <si>
    <t>親膚4層Q版紙手巾</t>
  </si>
  <si>
    <t>H0888001_S_10156287</t>
  </si>
  <si>
    <t>Propod全能抗菌洗衣旋珠</t>
  </si>
  <si>
    <t>H0888001_S_10157106</t>
  </si>
  <si>
    <t>滴露 propod™ 全能抗菌洗衣旋珠56粒裝 柑橘玫瑰 #洗衣珠 #洗衣球 #72小時抗菌 # 殺滅99.9%病菌# 8倍潔淨力 #去漬 #除蟎 #除臭 #柔順</t>
  </si>
  <si>
    <t>H0888001_S_10157416</t>
  </si>
  <si>
    <t>[法國進口] 法國全脂3.5牛奶 #無添加防腐劑</t>
  </si>
  <si>
    <t>H0888001_S_10157688</t>
  </si>
  <si>
    <t>親膚4層Q版紙手巾18包裝 (小蒼蘭香梨)</t>
  </si>
  <si>
    <t>H0888001_S_10158665</t>
  </si>
  <si>
    <t>藍莓葡萄黑酢/黑醋飲品</t>
  </si>
  <si>
    <t>H0888001_S_10158666</t>
  </si>
  <si>
    <t>紅石榴葡萄黑酢/黑醋飲品</t>
  </si>
  <si>
    <t>H0888001_S_10158829</t>
  </si>
  <si>
    <t>香薰樂 柔順劑 (甜蜜香薰)</t>
  </si>
  <si>
    <t>H0888001_S_10158842</t>
  </si>
  <si>
    <t>Pokka Sapporo - 檸檬碳酸飲料 (525ml)</t>
  </si>
  <si>
    <t>H0888001_S_10158862</t>
  </si>
  <si>
    <t>PLUS 可爾必思 [CP2305]腸道與睡眠健康乳酸菌飲品</t>
  </si>
  <si>
    <t>H0888001_S_10158863</t>
  </si>
  <si>
    <t>PLUS 可爾必思 [CP1563] 低糖 脂肪護理乳酸飲品</t>
  </si>
  <si>
    <t>H0888001_S_10158864</t>
  </si>
  <si>
    <t>PLUS 可爾必思 [L-92] 免疫力提升 乳酸飲品</t>
  </si>
  <si>
    <t>H0888001_S_10158867</t>
  </si>
  <si>
    <t>一日所需維生素飲料 (葡萄柚味)</t>
  </si>
  <si>
    <t>H0888001_S_10158868</t>
  </si>
  <si>
    <t>一日所需維生素飲料 (奇異果味)</t>
  </si>
  <si>
    <t>H0888001_S_10158869</t>
  </si>
  <si>
    <t>C1000 維他命檸檬膠原蛋白和透明質酸碳酸飲品</t>
  </si>
  <si>
    <t>H0888001_S_10158870</t>
  </si>
  <si>
    <t>（只限門市）檸檬原汁</t>
  </si>
  <si>
    <t>H0888001_S_10158871</t>
  </si>
  <si>
    <t>美味免疫保健改善睡眠飲品</t>
  </si>
  <si>
    <t>H0888001_S_10158872</t>
  </si>
  <si>
    <t>美味免疫保健低卡路里飲品</t>
  </si>
  <si>
    <t>H0888001_S_10158873</t>
  </si>
  <si>
    <t>美味免疫保健飲品</t>
  </si>
  <si>
    <t>H0888001_S_10158883</t>
  </si>
  <si>
    <t>Nerunoda 改善睡眠質素飲料-薑橙味 (100ml)</t>
  </si>
  <si>
    <t>H0888001_S_10158884</t>
  </si>
  <si>
    <t>子母 - 純牛奶</t>
  </si>
  <si>
    <t>H0888001_S_10158886</t>
  </si>
  <si>
    <t>黄金烏龍茶</t>
  </si>
  <si>
    <t>H0888001_S_10158887</t>
  </si>
  <si>
    <t>湖池屋 - 和牛芥末味薯片</t>
  </si>
  <si>
    <t>H0888001_S_10158888</t>
  </si>
  <si>
    <t>伊藤園 白桃烏龍</t>
  </si>
  <si>
    <t>H0888001_S_10158891</t>
  </si>
  <si>
    <t>湖池屋 - 牛肉辣椒味栗米片</t>
  </si>
  <si>
    <t>H0888001_S_10158892</t>
  </si>
  <si>
    <t>湖池屋 - 芝士辣椒味栗米</t>
  </si>
  <si>
    <t>H0888001_S_10158893</t>
  </si>
  <si>
    <t>白蝦蝦條</t>
  </si>
  <si>
    <t>H0888001_S_10160889</t>
  </si>
  <si>
    <t>[韓國直送] 韓式卡邦尼辛辣炒麵碗麵 #平行進口</t>
  </si>
  <si>
    <t>H0888001_S_10161007</t>
  </si>
  <si>
    <t>三養 - 番茄欖油即食意粉(碗麵)</t>
  </si>
  <si>
    <t>H0888001_S_10161008</t>
  </si>
  <si>
    <t>三養 - 香蒜欖油即食意粉(碗麵)</t>
  </si>
  <si>
    <t>H0888001_S_10161111</t>
  </si>
  <si>
    <t>維他命C營養保健啫喱飲</t>
  </si>
  <si>
    <t>H0888001_S_10161883</t>
  </si>
  <si>
    <t>淳。茶舍 -烏龍茶飲料(無糖)</t>
  </si>
  <si>
    <t>H0888001_S_10162080</t>
  </si>
  <si>
    <t>100% 純黑芝麻油</t>
  </si>
  <si>
    <t>H0888001_S_10162865</t>
  </si>
  <si>
    <t>[日本進口] 拉王 火鍋用中細火鍋面 2入</t>
  </si>
  <si>
    <t>H0888001_S_10162866</t>
  </si>
  <si>
    <t>[日本進口]拉王 火鍋用厚切捲面 2入</t>
  </si>
  <si>
    <t>H0888001_S_10162911</t>
  </si>
  <si>
    <t>麒麟 - [日本進口]午後之紅茶 香橙西柚冰茶</t>
  </si>
  <si>
    <t>H0888001_S_10162912</t>
  </si>
  <si>
    <t>麒麟 - [日本進口]午後之紅茶 白葡萄檸檬冰茶</t>
  </si>
  <si>
    <t>https://psos.hktvmall.com/hktv-psos/replenishment/transaction/detail?id=1784742</t>
  </si>
  <si>
    <t>LYG - 荃灣綠楊坊 O2O店</t>
  </si>
  <si>
    <t>IS01449606</t>
  </si>
  <si>
    <t>DRY</t>
  </si>
  <si>
    <t>產品編號</t>
  </si>
  <si>
    <t>產品名稱</t>
  </si>
  <si>
    <t>商店</t>
  </si>
  <si>
    <t>類型</t>
  </si>
  <si>
    <t>庫存參考編號</t>
  </si>
  <si>
    <t>可售賣數量改變</t>
  </si>
  <si>
    <t>可售賣數量</t>
  </si>
  <si>
    <t>待接收數量改變</t>
  </si>
  <si>
    <t>待接收數量</t>
  </si>
  <si>
    <t>待送出數量改變</t>
  </si>
  <si>
    <t>待送出數量</t>
  </si>
  <si>
    <t>日期</t>
  </si>
  <si>
    <r>
      <t>LYG</t>
    </r>
    <r>
      <rPr>
        <sz val="12"/>
        <color rgb="FF333333"/>
        <rFont val="Helvetica"/>
        <family val="2"/>
      </rPr>
      <t> 荃灣綠楊坊 O2O店</t>
    </r>
  </si>
  <si>
    <t>REPLENISHMENT_ORDER</t>
  </si>
  <si>
    <t>25/11/2025 18:09:14</t>
  </si>
  <si>
    <t>25/11/2025 18:09:13</t>
  </si>
  <si>
    <t>25/11/2025 18:09:12</t>
  </si>
  <si>
    <t>25/11/2025 15:53:20</t>
  </si>
  <si>
    <t>25/11/2025 15:53:19</t>
  </si>
  <si>
    <t>25/11/2025 15:53:18</t>
  </si>
  <si>
    <t>25/11/2025 15:53:17</t>
  </si>
  <si>
    <t>25/11/2025 15:53:16</t>
  </si>
  <si>
    <t>25/11/2025 15:53:15</t>
  </si>
  <si>
    <t>25/11/2025 15:53:14</t>
  </si>
  <si>
    <t>25/11/2025 15:53:13</t>
  </si>
  <si>
    <t>25/11/2025 15:53:12</t>
  </si>
  <si>
    <t>25/11/2025 15:53:11</t>
  </si>
  <si>
    <t>25/11/2025 15:53:10</t>
  </si>
  <si>
    <t>25/11/2025 15:53:09</t>
  </si>
  <si>
    <t>25/11/2025 15:53:08</t>
  </si>
  <si>
    <t>25/11/2025 15:53:07</t>
  </si>
  <si>
    <t>25/11/2025 15:53:06</t>
  </si>
  <si>
    <t>25/11/2025 15:53:05</t>
  </si>
  <si>
    <t>25/11/2025 15:53:04</t>
  </si>
  <si>
    <t>25/11/2025 15:53:03</t>
  </si>
  <si>
    <t>25/11/2025 15:53:02</t>
  </si>
  <si>
    <t>25/11/2025 15:53:01</t>
  </si>
  <si>
    <t>25/11/2025 15:53:00</t>
  </si>
  <si>
    <t>25/11/2025 15:52:59</t>
  </si>
  <si>
    <t>25/11/2025 15:52:58</t>
  </si>
  <si>
    <t>25/11/2025 15:52:57</t>
  </si>
  <si>
    <t>25/11/2025 15:52:56</t>
  </si>
  <si>
    <t>25/11/2025 15:52:55</t>
  </si>
  <si>
    <t>25/11/2025 15:52:54</t>
  </si>
  <si>
    <t>25/11/2025 15:52:53</t>
  </si>
  <si>
    <t>25/11/2025 15:52:52</t>
  </si>
  <si>
    <t>25/11/2025 15:52:51</t>
  </si>
  <si>
    <t>25/11/2025 15:52:50</t>
  </si>
  <si>
    <t>25/11/2025 15:52:49</t>
  </si>
  <si>
    <t>25/11/2025 15:52:48</t>
  </si>
  <si>
    <t>25/11/2025 15:52:47</t>
  </si>
  <si>
    <t>25/11/2025 15:52:46</t>
  </si>
  <si>
    <t>25/11/2025 15:52:45</t>
  </si>
  <si>
    <t>25/11/2025 15:52:44</t>
  </si>
  <si>
    <t>25/11/2025 15:52:43</t>
  </si>
  <si>
    <t>25/11/2025 15:52:42</t>
  </si>
  <si>
    <t>25/11/2025 15:52:41</t>
  </si>
  <si>
    <t>25/11/2025 15:52:40</t>
  </si>
  <si>
    <t>25/11/2025 15:52:39</t>
  </si>
  <si>
    <t>25/11/2025 15:52:38</t>
  </si>
  <si>
    <t>25/11/2025 15:52:37</t>
  </si>
  <si>
    <t>25/11/2025 15:52:36</t>
  </si>
  <si>
    <t>25/11/2025 15:52:35</t>
  </si>
  <si>
    <t>25/11/2025 15:52:34</t>
  </si>
  <si>
    <t>25/11/2025 15:52:33</t>
  </si>
  <si>
    <t>25/11/2025 15:52:32</t>
  </si>
  <si>
    <t>25/11/2025 15:52:31</t>
  </si>
  <si>
    <t>25/11/2025 15:52:30</t>
  </si>
  <si>
    <t>25/11/2025 15:52:29</t>
  </si>
  <si>
    <t>25/11/2025 15:52:28</t>
  </si>
  <si>
    <t>25/11/2025 15:52:27</t>
  </si>
  <si>
    <t>25/11/2025 15:52:26</t>
  </si>
  <si>
    <t>25/11/2025 15:52:25</t>
  </si>
  <si>
    <t>25/11/2025 15:52:24</t>
  </si>
  <si>
    <t>25/11/2025 15:52:23</t>
  </si>
  <si>
    <t>25/11/2025 15:52:22</t>
  </si>
  <si>
    <t>25/11/2025 15:52:21</t>
  </si>
  <si>
    <t>25/11/2025 15:52:20</t>
  </si>
  <si>
    <t>25/11/2025 15:52:19</t>
  </si>
  <si>
    <t>25/11/2025 15:52:18</t>
  </si>
  <si>
    <t>25/11/2025 15:52:17</t>
  </si>
  <si>
    <t>25/11/2025 15:52:16</t>
  </si>
  <si>
    <t>25/11/2025 15:52:15</t>
  </si>
  <si>
    <t>25/11/2025 15:52:14</t>
  </si>
  <si>
    <t>25/11/2025 15:52:13</t>
  </si>
  <si>
    <t>25/11/2025 15:52:12</t>
  </si>
  <si>
    <t>25/11/2025 15:52:11</t>
  </si>
  <si>
    <t>25/11/2025 15:52:10</t>
  </si>
  <si>
    <t>25/11/2025 15:52:09</t>
  </si>
  <si>
    <t>25/11/2025 15:52:08</t>
  </si>
  <si>
    <t>25/11/2025 15:52:07</t>
  </si>
  <si>
    <t>25/11/2025 15:52:06</t>
  </si>
  <si>
    <t>25/11/2025 15:52:05</t>
  </si>
  <si>
    <t>25/11/2025 15:52:04</t>
  </si>
  <si>
    <t>25/11/2025 15:52:03</t>
  </si>
  <si>
    <t>25/11/2025 15:52:02</t>
  </si>
  <si>
    <t>25/11/2025 15:52:01</t>
  </si>
  <si>
    <t>25/11/2025 15:52:00</t>
  </si>
  <si>
    <t>https://psos.hktvmall.com/hktv-psos/inventory/detail?current_page=2&amp;page_size=100&amp;store_code=&amp;product_code=&amp;reference_number=IS01449606&amp;from_date=2025/11/25&amp;to_date=2025/11/25&amp;available_quantity_change_only=&amp;reference_type=&amp;adjustment_type=</t>
  </si>
  <si>
    <t>RO</t>
  </si>
  <si>
    <t>Inventory log of RO on 25th</t>
  </si>
  <si>
    <t>Store</t>
  </si>
  <si>
    <t>R Category</t>
  </si>
  <si>
    <t>Checking of inventory log</t>
  </si>
  <si>
    <t>Checking of order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</si>
</sst>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rgb="FF707070"/>
      <name val="Helvetica"/>
      <family val="2"/>
    </font>
    <font>
      <sz val="12"/>
      <color rgb="FF333333"/>
      <name val="Helvetica"/>
      <family val="2"/>
    </font>
    <font>
      <sz val="12"/>
      <color rgb="FF34A853"/>
      <name val="Helvetica"/>
      <family val="2"/>
    </font>
    <font>
      <sz val="15.6"/>
      <color rgb="FF363C46"/>
      <name val="Glyphicons Halflings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777777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5" fillId="3" borderId="0" xfId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5" fillId="2" borderId="0" xfId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5" fillId="0" borderId="0" xfId="1"/>
    <xf numFmtId="0" fontId="7" fillId="3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wrapText="1" indent="1"/>
    </xf>
    <xf numFmtId="0" fontId="6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sos.hktvmall.com/hktv-psos/replenishment/transaction/detail?id=178474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3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2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6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5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5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4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4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3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3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6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5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2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8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8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4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6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3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5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4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1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4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5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4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5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1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5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09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3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5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4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2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7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9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14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0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5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7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9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3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2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20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4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62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3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88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11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5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36" Type="http://schemas.openxmlformats.org/officeDocument/2006/relationships/hyperlink" Target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TargetMode="External"/><Relationship Id="rId57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Relationship Id="rId106" Type="http://schemas.openxmlformats.org/officeDocument/2006/relationships/hyperlink" Target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FE3B-7A4E-4036-AA25-A98DD4B9D9B8}">
  <dimension ref="A1:B5"/>
  <sheetViews>
    <sheetView workbookViewId="0">
      <selection activeCell="B4" sqref="B4"/>
    </sheetView>
  </sheetViews>
  <sheetFormatPr defaultRowHeight="15.75"/>
  <cols>
    <col min="1" max="1" width="22.625" bestFit="1" customWidth="1"/>
  </cols>
  <sheetData>
    <row r="1" spans="1:2">
      <c r="A1" s="16" t="s">
        <v>246</v>
      </c>
      <c r="B1" t="s">
        <v>142</v>
      </c>
    </row>
    <row r="2" spans="1:2">
      <c r="A2" s="16" t="s">
        <v>244</v>
      </c>
      <c r="B2" t="s">
        <v>143</v>
      </c>
    </row>
    <row r="3" spans="1:2">
      <c r="A3" s="16" t="s">
        <v>247</v>
      </c>
      <c r="B3" t="s">
        <v>144</v>
      </c>
    </row>
    <row r="4" spans="1:2">
      <c r="A4" s="16" t="s">
        <v>244</v>
      </c>
      <c r="B4" s="13" t="s">
        <v>141</v>
      </c>
    </row>
    <row r="5" spans="1:2">
      <c r="A5" s="16" t="s">
        <v>245</v>
      </c>
      <c r="B5" t="s">
        <v>243</v>
      </c>
    </row>
  </sheetData>
  <hyperlinks>
    <hyperlink ref="B4" r:id="rId1" xr:uid="{88BD58E8-3C4F-4DE8-9331-E3098EB250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9F3A-75DD-43EB-9FF4-534648B3D51E}">
  <dimension ref="A1:R61"/>
  <sheetViews>
    <sheetView tabSelected="1" workbookViewId="0"/>
  </sheetViews>
  <sheetFormatPr defaultColWidth="18.375" defaultRowHeight="15.75"/>
  <cols>
    <col min="1" max="1" width="23.875" customWidth="1"/>
    <col min="2" max="2" width="52.25" customWidth="1"/>
  </cols>
  <sheetData>
    <row r="1" spans="1:18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248</v>
      </c>
      <c r="R1" s="2" t="s">
        <v>249</v>
      </c>
    </row>
    <row r="2" spans="1:18" ht="20.25">
      <c r="A2" t="s">
        <v>16</v>
      </c>
      <c r="B2" s="4" t="s">
        <v>17</v>
      </c>
      <c r="C2" s="4">
        <v>0</v>
      </c>
      <c r="D2" s="4">
        <v>0</v>
      </c>
      <c r="E2" s="4">
        <v>36</v>
      </c>
      <c r="F2" s="4">
        <v>24</v>
      </c>
      <c r="G2" s="4">
        <v>12</v>
      </c>
      <c r="H2" s="4">
        <v>36</v>
      </c>
      <c r="I2" s="4">
        <v>36</v>
      </c>
      <c r="J2" s="4">
        <v>0</v>
      </c>
      <c r="K2" s="4">
        <v>0</v>
      </c>
      <c r="L2" s="4">
        <v>36</v>
      </c>
      <c r="M2" s="4" t="s">
        <v>18</v>
      </c>
      <c r="N2" s="5">
        <v>45983</v>
      </c>
      <c r="O2" s="4" t="s">
        <v>19</v>
      </c>
      <c r="P2" s="6" t="s">
        <v>20</v>
      </c>
      <c r="Q2" s="7">
        <f>VLOOKUP('60 sku - o qty &gt;0'!A2,'60 duplicate arriving'!A:H,8,FALSE)</f>
        <v>36</v>
      </c>
      <c r="R2" t="str">
        <f>IF(I2-Q2=0,"Match", "Not Match")</f>
        <v>Match</v>
      </c>
    </row>
    <row r="3" spans="1:18" ht="20.25">
      <c r="A3" t="s">
        <v>21</v>
      </c>
      <c r="B3" s="9" t="s">
        <v>22</v>
      </c>
      <c r="C3" s="9">
        <v>0</v>
      </c>
      <c r="D3" s="9">
        <v>0</v>
      </c>
      <c r="E3" s="9">
        <v>36</v>
      </c>
      <c r="F3" s="9">
        <v>24</v>
      </c>
      <c r="G3" s="9">
        <v>12</v>
      </c>
      <c r="H3" s="9">
        <v>36</v>
      </c>
      <c r="I3" s="9">
        <v>36</v>
      </c>
      <c r="J3" s="9">
        <v>0</v>
      </c>
      <c r="K3" s="9">
        <v>0</v>
      </c>
      <c r="L3" s="9">
        <v>36</v>
      </c>
      <c r="M3" s="9" t="s">
        <v>18</v>
      </c>
      <c r="N3" s="10">
        <v>45983</v>
      </c>
      <c r="O3" s="9" t="s">
        <v>19</v>
      </c>
      <c r="P3" s="11" t="s">
        <v>20</v>
      </c>
      <c r="Q3" s="12">
        <f>VLOOKUP('60 sku - o qty &gt;0'!A3,'60 duplicate arriving'!A:H,8,FALSE)</f>
        <v>36</v>
      </c>
      <c r="R3" t="str">
        <f t="shared" ref="R3:R60" si="0">IF(I3-Q3=0,"Match", "Not Match")</f>
        <v>Match</v>
      </c>
    </row>
    <row r="4" spans="1:18" ht="20.25">
      <c r="A4" t="s">
        <v>23</v>
      </c>
      <c r="B4" s="4" t="s">
        <v>24</v>
      </c>
      <c r="C4" s="4">
        <v>0</v>
      </c>
      <c r="D4" s="4">
        <v>0</v>
      </c>
      <c r="E4" s="4">
        <v>18</v>
      </c>
      <c r="F4" s="4">
        <v>6</v>
      </c>
      <c r="G4" s="4">
        <v>12</v>
      </c>
      <c r="H4" s="4">
        <v>12</v>
      </c>
      <c r="I4" s="4">
        <v>12</v>
      </c>
      <c r="J4" s="4">
        <v>0</v>
      </c>
      <c r="K4" s="4">
        <v>0</v>
      </c>
      <c r="L4" s="4">
        <v>12</v>
      </c>
      <c r="M4" s="4" t="s">
        <v>18</v>
      </c>
      <c r="N4" s="5">
        <v>45983</v>
      </c>
      <c r="O4" s="4" t="s">
        <v>25</v>
      </c>
      <c r="P4" s="6" t="s">
        <v>20</v>
      </c>
      <c r="Q4" s="7">
        <f>VLOOKUP('60 sku - o qty &gt;0'!A4,'60 duplicate arriving'!A:H,8,FALSE)</f>
        <v>12</v>
      </c>
      <c r="R4" t="str">
        <f t="shared" si="0"/>
        <v>Match</v>
      </c>
    </row>
    <row r="5" spans="1:18" ht="20.25">
      <c r="A5" t="s">
        <v>26</v>
      </c>
      <c r="B5" s="9" t="s">
        <v>27</v>
      </c>
      <c r="C5" s="9">
        <v>0</v>
      </c>
      <c r="D5" s="9">
        <v>0</v>
      </c>
      <c r="E5" s="9">
        <v>24</v>
      </c>
      <c r="F5" s="9">
        <v>12</v>
      </c>
      <c r="G5" s="9">
        <v>12</v>
      </c>
      <c r="H5" s="9">
        <v>24</v>
      </c>
      <c r="I5" s="9">
        <v>24</v>
      </c>
      <c r="J5" s="9">
        <v>0</v>
      </c>
      <c r="K5" s="9">
        <v>0</v>
      </c>
      <c r="L5" s="9">
        <v>24</v>
      </c>
      <c r="M5" s="9" t="s">
        <v>18</v>
      </c>
      <c r="N5" s="10">
        <v>45983</v>
      </c>
      <c r="O5" s="9" t="s">
        <v>25</v>
      </c>
      <c r="P5" s="11" t="s">
        <v>20</v>
      </c>
      <c r="Q5" s="12">
        <f>VLOOKUP('60 sku - o qty &gt;0'!A5,'60 duplicate arriving'!A:H,8,FALSE)</f>
        <v>24</v>
      </c>
      <c r="R5" t="str">
        <f t="shared" si="0"/>
        <v>Match</v>
      </c>
    </row>
    <row r="6" spans="1:18" ht="20.25">
      <c r="A6" t="s">
        <v>28</v>
      </c>
      <c r="B6" s="4" t="s">
        <v>29</v>
      </c>
      <c r="C6" s="4">
        <v>0</v>
      </c>
      <c r="D6" s="4">
        <v>0</v>
      </c>
      <c r="E6" s="4">
        <v>30</v>
      </c>
      <c r="F6" s="4">
        <v>6</v>
      </c>
      <c r="G6" s="4">
        <v>24</v>
      </c>
      <c r="H6" s="4">
        <v>24</v>
      </c>
      <c r="I6" s="4">
        <v>24</v>
      </c>
      <c r="J6" s="4">
        <v>0</v>
      </c>
      <c r="K6" s="4">
        <v>0</v>
      </c>
      <c r="L6" s="4">
        <v>24</v>
      </c>
      <c r="M6" s="4" t="s">
        <v>18</v>
      </c>
      <c r="N6" s="5">
        <v>45983</v>
      </c>
      <c r="O6" s="4" t="s">
        <v>19</v>
      </c>
      <c r="P6" s="6" t="s">
        <v>20</v>
      </c>
      <c r="Q6" s="7">
        <f>VLOOKUP('60 sku - o qty &gt;0'!A6,'60 duplicate arriving'!A:H,8,FALSE)</f>
        <v>24</v>
      </c>
      <c r="R6" t="str">
        <f t="shared" si="0"/>
        <v>Match</v>
      </c>
    </row>
    <row r="7" spans="1:18" ht="20.25">
      <c r="A7" t="s">
        <v>30</v>
      </c>
      <c r="B7" s="9" t="s">
        <v>31</v>
      </c>
      <c r="C7" s="9">
        <v>0</v>
      </c>
      <c r="D7" s="9">
        <v>0</v>
      </c>
      <c r="E7" s="9">
        <v>48</v>
      </c>
      <c r="F7" s="9">
        <v>24</v>
      </c>
      <c r="G7" s="9">
        <v>24</v>
      </c>
      <c r="H7" s="9">
        <v>48</v>
      </c>
      <c r="I7" s="9">
        <v>48</v>
      </c>
      <c r="J7" s="9">
        <v>0</v>
      </c>
      <c r="K7" s="9">
        <v>0</v>
      </c>
      <c r="L7" s="9">
        <v>48</v>
      </c>
      <c r="M7" s="9" t="s">
        <v>18</v>
      </c>
      <c r="N7" s="10">
        <v>45983</v>
      </c>
      <c r="O7" s="9" t="s">
        <v>32</v>
      </c>
      <c r="P7" s="11" t="s">
        <v>20</v>
      </c>
      <c r="Q7" s="12">
        <f>VLOOKUP('60 sku - o qty &gt;0'!A7,'60 duplicate arriving'!A:H,8,FALSE)</f>
        <v>48</v>
      </c>
      <c r="R7" t="str">
        <f t="shared" si="0"/>
        <v>Match</v>
      </c>
    </row>
    <row r="8" spans="1:18" ht="20.25">
      <c r="A8" t="s">
        <v>33</v>
      </c>
      <c r="B8" s="4" t="s">
        <v>34</v>
      </c>
      <c r="C8" s="4">
        <v>0</v>
      </c>
      <c r="D8" s="4">
        <v>0</v>
      </c>
      <c r="E8" s="4">
        <v>48</v>
      </c>
      <c r="F8" s="4">
        <v>24</v>
      </c>
      <c r="G8" s="4">
        <v>24</v>
      </c>
      <c r="H8" s="4">
        <v>48</v>
      </c>
      <c r="I8" s="4">
        <v>48</v>
      </c>
      <c r="J8" s="4">
        <v>0</v>
      </c>
      <c r="K8" s="4">
        <v>0</v>
      </c>
      <c r="L8" s="4">
        <v>48</v>
      </c>
      <c r="M8" s="4" t="s">
        <v>18</v>
      </c>
      <c r="N8" s="5">
        <v>45983</v>
      </c>
      <c r="O8" s="4" t="s">
        <v>32</v>
      </c>
      <c r="P8" s="6" t="s">
        <v>20</v>
      </c>
      <c r="Q8" s="7">
        <f>VLOOKUP('60 sku - o qty &gt;0'!A8,'60 duplicate arriving'!A:H,8,FALSE)</f>
        <v>48</v>
      </c>
      <c r="R8" t="str">
        <f t="shared" si="0"/>
        <v>Match</v>
      </c>
    </row>
    <row r="9" spans="1:18" ht="20.25">
      <c r="A9" t="s">
        <v>35</v>
      </c>
      <c r="B9" s="9" t="s">
        <v>36</v>
      </c>
      <c r="C9" s="9">
        <v>0</v>
      </c>
      <c r="D9" s="9">
        <v>0</v>
      </c>
      <c r="E9" s="9">
        <v>72</v>
      </c>
      <c r="F9" s="9">
        <v>60</v>
      </c>
      <c r="G9" s="9">
        <v>12</v>
      </c>
      <c r="H9" s="9">
        <v>72</v>
      </c>
      <c r="I9" s="9">
        <v>72</v>
      </c>
      <c r="J9" s="9">
        <v>0</v>
      </c>
      <c r="K9" s="9">
        <v>0</v>
      </c>
      <c r="L9" s="9">
        <v>72</v>
      </c>
      <c r="M9" s="9" t="s">
        <v>18</v>
      </c>
      <c r="N9" s="10">
        <v>45983</v>
      </c>
      <c r="O9" s="9" t="s">
        <v>32</v>
      </c>
      <c r="P9" s="11" t="s">
        <v>20</v>
      </c>
      <c r="Q9" s="12">
        <f>VLOOKUP('60 sku - o qty &gt;0'!A9,'60 duplicate arriving'!A:H,8,FALSE)</f>
        <v>72</v>
      </c>
      <c r="R9" t="str">
        <f t="shared" si="0"/>
        <v>Match</v>
      </c>
    </row>
    <row r="10" spans="1:18" ht="20.25">
      <c r="A10" t="s">
        <v>37</v>
      </c>
      <c r="B10" s="4" t="s">
        <v>38</v>
      </c>
      <c r="C10" s="4">
        <v>0</v>
      </c>
      <c r="D10" s="4">
        <v>0</v>
      </c>
      <c r="E10" s="4">
        <v>84</v>
      </c>
      <c r="F10" s="4">
        <v>72</v>
      </c>
      <c r="G10" s="4">
        <v>12</v>
      </c>
      <c r="H10" s="4">
        <v>84</v>
      </c>
      <c r="I10" s="4">
        <v>84</v>
      </c>
      <c r="J10" s="4">
        <v>0</v>
      </c>
      <c r="K10" s="4">
        <v>0</v>
      </c>
      <c r="L10" s="4">
        <v>84</v>
      </c>
      <c r="M10" s="4" t="s">
        <v>18</v>
      </c>
      <c r="N10" s="5">
        <v>45983</v>
      </c>
      <c r="O10" s="4" t="s">
        <v>25</v>
      </c>
      <c r="P10" s="6" t="s">
        <v>20</v>
      </c>
      <c r="Q10" s="7">
        <f>VLOOKUP('60 sku - o qty &gt;0'!A10,'60 duplicate arriving'!A:H,8,FALSE)</f>
        <v>84</v>
      </c>
      <c r="R10" t="str">
        <f t="shared" si="0"/>
        <v>Match</v>
      </c>
    </row>
    <row r="11" spans="1:18" ht="30">
      <c r="A11" t="s">
        <v>39</v>
      </c>
      <c r="B11" s="9" t="s">
        <v>40</v>
      </c>
      <c r="C11" s="9">
        <v>0</v>
      </c>
      <c r="D11" s="9">
        <v>0</v>
      </c>
      <c r="E11" s="9">
        <v>26</v>
      </c>
      <c r="F11" s="9">
        <v>6</v>
      </c>
      <c r="G11" s="9">
        <v>20</v>
      </c>
      <c r="H11" s="9">
        <v>20</v>
      </c>
      <c r="I11" s="9">
        <v>20</v>
      </c>
      <c r="J11" s="9">
        <v>0</v>
      </c>
      <c r="K11" s="9">
        <v>0</v>
      </c>
      <c r="L11" s="9">
        <v>20</v>
      </c>
      <c r="M11" s="9" t="s">
        <v>18</v>
      </c>
      <c r="N11" s="10">
        <v>45983</v>
      </c>
      <c r="O11" s="9"/>
      <c r="P11" s="11" t="s">
        <v>20</v>
      </c>
      <c r="Q11" s="12">
        <f>VLOOKUP('60 sku - o qty &gt;0'!A11,'60 duplicate arriving'!A:H,8,FALSE)</f>
        <v>20</v>
      </c>
      <c r="R11" t="str">
        <f t="shared" si="0"/>
        <v>Match</v>
      </c>
    </row>
    <row r="12" spans="1:18" ht="20.25">
      <c r="A12" t="s">
        <v>41</v>
      </c>
      <c r="B12" s="4" t="s">
        <v>42</v>
      </c>
      <c r="C12" s="4">
        <v>0</v>
      </c>
      <c r="D12" s="4">
        <v>0</v>
      </c>
      <c r="E12" s="4">
        <v>30</v>
      </c>
      <c r="F12" s="4">
        <v>6</v>
      </c>
      <c r="G12" s="4">
        <v>24</v>
      </c>
      <c r="H12" s="4">
        <v>24</v>
      </c>
      <c r="I12" s="4">
        <v>24</v>
      </c>
      <c r="J12" s="4">
        <v>0</v>
      </c>
      <c r="K12" s="4">
        <v>0</v>
      </c>
      <c r="L12" s="4">
        <v>24</v>
      </c>
      <c r="M12" s="4" t="s">
        <v>18</v>
      </c>
      <c r="N12" s="5">
        <v>45983</v>
      </c>
      <c r="O12" s="4"/>
      <c r="P12" s="6" t="s">
        <v>20</v>
      </c>
      <c r="Q12" s="7">
        <f>VLOOKUP('60 sku - o qty &gt;0'!A12,'60 duplicate arriving'!A:H,8,FALSE)</f>
        <v>24</v>
      </c>
      <c r="R12" t="str">
        <f t="shared" si="0"/>
        <v>Match</v>
      </c>
    </row>
    <row r="13" spans="1:18" ht="20.25">
      <c r="A13" t="s">
        <v>43</v>
      </c>
      <c r="B13" s="9" t="s">
        <v>44</v>
      </c>
      <c r="C13" s="9">
        <v>0</v>
      </c>
      <c r="D13" s="9">
        <v>0</v>
      </c>
      <c r="E13" s="9">
        <v>30</v>
      </c>
      <c r="F13" s="9">
        <v>6</v>
      </c>
      <c r="G13" s="9">
        <v>24</v>
      </c>
      <c r="H13" s="9">
        <v>24</v>
      </c>
      <c r="I13" s="9">
        <v>24</v>
      </c>
      <c r="J13" s="9">
        <v>0</v>
      </c>
      <c r="K13" s="9">
        <v>0</v>
      </c>
      <c r="L13" s="9">
        <v>24</v>
      </c>
      <c r="M13" s="9" t="s">
        <v>18</v>
      </c>
      <c r="N13" s="10">
        <v>45983</v>
      </c>
      <c r="O13" s="9"/>
      <c r="P13" s="11" t="s">
        <v>20</v>
      </c>
      <c r="Q13" s="12">
        <f>VLOOKUP('60 sku - o qty &gt;0'!A13,'60 duplicate arriving'!A:H,8,FALSE)</f>
        <v>24</v>
      </c>
      <c r="R13" t="str">
        <f t="shared" si="0"/>
        <v>Match</v>
      </c>
    </row>
    <row r="14" spans="1:18" ht="20.25">
      <c r="A14" t="s">
        <v>45</v>
      </c>
      <c r="B14" s="4" t="s">
        <v>46</v>
      </c>
      <c r="C14" s="4">
        <v>0</v>
      </c>
      <c r="D14" s="4">
        <v>0</v>
      </c>
      <c r="E14" s="4">
        <v>32</v>
      </c>
      <c r="F14" s="4">
        <v>16</v>
      </c>
      <c r="G14" s="4">
        <v>16</v>
      </c>
      <c r="H14" s="4">
        <v>32</v>
      </c>
      <c r="I14" s="4">
        <v>32</v>
      </c>
      <c r="J14" s="4">
        <v>0</v>
      </c>
      <c r="K14" s="4">
        <v>0</v>
      </c>
      <c r="L14" s="4">
        <v>32</v>
      </c>
      <c r="M14" s="4" t="s">
        <v>18</v>
      </c>
      <c r="N14" s="5">
        <v>45983</v>
      </c>
      <c r="O14" s="4"/>
      <c r="P14" s="6" t="s">
        <v>20</v>
      </c>
      <c r="Q14" s="7">
        <f>VLOOKUP('60 sku - o qty &gt;0'!A14,'60 duplicate arriving'!A:H,8,FALSE)</f>
        <v>32</v>
      </c>
      <c r="R14" t="str">
        <f t="shared" si="0"/>
        <v>Match</v>
      </c>
    </row>
    <row r="15" spans="1:18" ht="20.25">
      <c r="A15" t="s">
        <v>47</v>
      </c>
      <c r="B15" s="9" t="s">
        <v>48</v>
      </c>
      <c r="C15" s="9">
        <v>0</v>
      </c>
      <c r="D15" s="9">
        <v>0</v>
      </c>
      <c r="E15" s="9">
        <v>120</v>
      </c>
      <c r="F15" s="9">
        <v>96</v>
      </c>
      <c r="G15" s="9">
        <v>24</v>
      </c>
      <c r="H15" s="9">
        <v>120</v>
      </c>
      <c r="I15" s="9">
        <v>120</v>
      </c>
      <c r="J15" s="9">
        <v>0</v>
      </c>
      <c r="K15" s="9">
        <v>0</v>
      </c>
      <c r="L15" s="9">
        <v>120</v>
      </c>
      <c r="M15" s="9" t="s">
        <v>18</v>
      </c>
      <c r="N15" s="10">
        <v>45983</v>
      </c>
      <c r="O15" s="9"/>
      <c r="P15" s="11" t="s">
        <v>20</v>
      </c>
      <c r="Q15" s="12">
        <f>VLOOKUP('60 sku - o qty &gt;0'!A15,'60 duplicate arriving'!A:H,8,FALSE)</f>
        <v>120</v>
      </c>
      <c r="R15" t="str">
        <f t="shared" si="0"/>
        <v>Match</v>
      </c>
    </row>
    <row r="16" spans="1:18" ht="20.25">
      <c r="A16" t="s">
        <v>49</v>
      </c>
      <c r="B16" s="4" t="s">
        <v>50</v>
      </c>
      <c r="C16" s="4">
        <v>0</v>
      </c>
      <c r="D16" s="4">
        <v>0</v>
      </c>
      <c r="E16" s="4">
        <v>96</v>
      </c>
      <c r="F16" s="4">
        <v>72</v>
      </c>
      <c r="G16" s="4">
        <v>24</v>
      </c>
      <c r="H16" s="4">
        <v>96</v>
      </c>
      <c r="I16" s="4">
        <v>96</v>
      </c>
      <c r="J16" s="4">
        <v>0</v>
      </c>
      <c r="K16" s="4">
        <v>0</v>
      </c>
      <c r="L16" s="4">
        <v>96</v>
      </c>
      <c r="M16" s="4" t="s">
        <v>18</v>
      </c>
      <c r="N16" s="5">
        <v>45983</v>
      </c>
      <c r="O16" s="4"/>
      <c r="P16" s="6" t="s">
        <v>20</v>
      </c>
      <c r="Q16" s="7">
        <f>VLOOKUP('60 sku - o qty &gt;0'!A16,'60 duplicate arriving'!A:H,8,FALSE)</f>
        <v>96</v>
      </c>
      <c r="R16" t="str">
        <f t="shared" si="0"/>
        <v>Match</v>
      </c>
    </row>
    <row r="17" spans="1:18" ht="20.25">
      <c r="A17" t="s">
        <v>51</v>
      </c>
      <c r="B17" s="9" t="s">
        <v>52</v>
      </c>
      <c r="C17" s="9">
        <v>0</v>
      </c>
      <c r="D17" s="9">
        <v>0</v>
      </c>
      <c r="E17" s="9">
        <v>30</v>
      </c>
      <c r="F17" s="9">
        <v>6</v>
      </c>
      <c r="G17" s="9">
        <v>24</v>
      </c>
      <c r="H17" s="9">
        <v>24</v>
      </c>
      <c r="I17" s="9">
        <v>24</v>
      </c>
      <c r="J17" s="9">
        <v>0</v>
      </c>
      <c r="K17" s="9">
        <v>0</v>
      </c>
      <c r="L17" s="9">
        <v>24</v>
      </c>
      <c r="M17" s="9" t="s">
        <v>18</v>
      </c>
      <c r="N17" s="10">
        <v>45983</v>
      </c>
      <c r="O17" s="9"/>
      <c r="P17" s="11" t="s">
        <v>20</v>
      </c>
      <c r="Q17" s="12">
        <f>VLOOKUP('60 sku - o qty &gt;0'!A17,'60 duplicate arriving'!A:H,8,FALSE)</f>
        <v>24</v>
      </c>
      <c r="R17" t="str">
        <f t="shared" si="0"/>
        <v>Match</v>
      </c>
    </row>
    <row r="18" spans="1:18" ht="20.25">
      <c r="A18" t="s">
        <v>53</v>
      </c>
      <c r="B18" s="4" t="s">
        <v>54</v>
      </c>
      <c r="C18" s="4">
        <v>0</v>
      </c>
      <c r="D18" s="4">
        <v>0</v>
      </c>
      <c r="E18" s="4">
        <v>8</v>
      </c>
      <c r="F18" s="4">
        <v>4</v>
      </c>
      <c r="G18" s="4">
        <v>4</v>
      </c>
      <c r="H18" s="4">
        <v>8</v>
      </c>
      <c r="I18" s="4">
        <v>8</v>
      </c>
      <c r="J18" s="4">
        <v>0</v>
      </c>
      <c r="K18" s="4">
        <v>0</v>
      </c>
      <c r="L18" s="4">
        <v>8</v>
      </c>
      <c r="M18" s="4" t="s">
        <v>18</v>
      </c>
      <c r="N18" s="5">
        <v>45983</v>
      </c>
      <c r="O18" s="4"/>
      <c r="P18" s="6" t="s">
        <v>20</v>
      </c>
      <c r="Q18" s="7">
        <f>VLOOKUP('60 sku - o qty &gt;0'!A18,'60 duplicate arriving'!A:H,8,FALSE)</f>
        <v>8</v>
      </c>
      <c r="R18" t="str">
        <f t="shared" si="0"/>
        <v>Match</v>
      </c>
    </row>
    <row r="19" spans="1:18" ht="20.25">
      <c r="A19" t="s">
        <v>55</v>
      </c>
      <c r="B19" s="9" t="s">
        <v>56</v>
      </c>
      <c r="C19" s="9">
        <v>0</v>
      </c>
      <c r="D19" s="9">
        <v>0</v>
      </c>
      <c r="E19" s="9">
        <v>36</v>
      </c>
      <c r="F19" s="9">
        <v>24</v>
      </c>
      <c r="G19" s="9">
        <v>12</v>
      </c>
      <c r="H19" s="9">
        <v>36</v>
      </c>
      <c r="I19" s="9">
        <v>36</v>
      </c>
      <c r="J19" s="9">
        <v>0</v>
      </c>
      <c r="K19" s="9">
        <v>0</v>
      </c>
      <c r="L19" s="9">
        <v>36</v>
      </c>
      <c r="M19" s="9" t="s">
        <v>18</v>
      </c>
      <c r="N19" s="10">
        <v>45983</v>
      </c>
      <c r="O19" s="9"/>
      <c r="P19" s="11" t="s">
        <v>20</v>
      </c>
      <c r="Q19" s="12">
        <f>VLOOKUP('60 sku - o qty &gt;0'!A19,'60 duplicate arriving'!A:H,8,FALSE)</f>
        <v>36</v>
      </c>
      <c r="R19" t="str">
        <f t="shared" si="0"/>
        <v>Match</v>
      </c>
    </row>
    <row r="20" spans="1:18" ht="20.25">
      <c r="A20" t="s">
        <v>57</v>
      </c>
      <c r="B20" s="4" t="s">
        <v>58</v>
      </c>
      <c r="C20" s="4">
        <v>0</v>
      </c>
      <c r="D20" s="4">
        <v>0</v>
      </c>
      <c r="E20" s="4">
        <v>8</v>
      </c>
      <c r="F20" s="4">
        <v>4</v>
      </c>
      <c r="G20" s="4">
        <v>4</v>
      </c>
      <c r="H20" s="4">
        <v>8</v>
      </c>
      <c r="I20" s="4">
        <v>8</v>
      </c>
      <c r="J20" s="4">
        <v>0</v>
      </c>
      <c r="K20" s="4">
        <v>0</v>
      </c>
      <c r="L20" s="4">
        <v>8</v>
      </c>
      <c r="M20" s="4" t="s">
        <v>18</v>
      </c>
      <c r="N20" s="5">
        <v>45983</v>
      </c>
      <c r="O20" s="4"/>
      <c r="P20" s="6" t="s">
        <v>20</v>
      </c>
      <c r="Q20" s="7">
        <f>VLOOKUP('60 sku - o qty &gt;0'!A20,'60 duplicate arriving'!A:H,8,FALSE)</f>
        <v>8</v>
      </c>
      <c r="R20" t="str">
        <f t="shared" si="0"/>
        <v>Match</v>
      </c>
    </row>
    <row r="21" spans="1:18" ht="20.25">
      <c r="A21" t="s">
        <v>59</v>
      </c>
      <c r="B21" s="9" t="s">
        <v>60</v>
      </c>
      <c r="C21" s="9">
        <v>0</v>
      </c>
      <c r="D21" s="9">
        <v>0</v>
      </c>
      <c r="E21" s="9">
        <v>18</v>
      </c>
      <c r="F21" s="9">
        <v>6</v>
      </c>
      <c r="G21" s="9">
        <v>12</v>
      </c>
      <c r="H21" s="9">
        <v>12</v>
      </c>
      <c r="I21" s="9">
        <v>12</v>
      </c>
      <c r="J21" s="9">
        <v>0</v>
      </c>
      <c r="K21" s="9">
        <v>0</v>
      </c>
      <c r="L21" s="9">
        <v>12</v>
      </c>
      <c r="M21" s="9" t="s">
        <v>18</v>
      </c>
      <c r="N21" s="10">
        <v>45983</v>
      </c>
      <c r="O21" s="9"/>
      <c r="P21" s="11" t="s">
        <v>20</v>
      </c>
      <c r="Q21" s="12">
        <f>VLOOKUP('60 sku - o qty &gt;0'!A21,'60 duplicate arriving'!A:H,8,FALSE)</f>
        <v>12</v>
      </c>
      <c r="R21" t="str">
        <f t="shared" si="0"/>
        <v>Match</v>
      </c>
    </row>
    <row r="22" spans="1:18" ht="30">
      <c r="A22" t="s">
        <v>61</v>
      </c>
      <c r="B22" s="4" t="s">
        <v>62</v>
      </c>
      <c r="C22" s="4">
        <v>0</v>
      </c>
      <c r="D22" s="4">
        <v>0</v>
      </c>
      <c r="E22" s="4">
        <v>13</v>
      </c>
      <c r="F22" s="4">
        <v>4</v>
      </c>
      <c r="G22" s="4">
        <v>9</v>
      </c>
      <c r="H22" s="4">
        <v>9</v>
      </c>
      <c r="I22" s="4">
        <v>9</v>
      </c>
      <c r="J22" s="4">
        <v>0</v>
      </c>
      <c r="K22" s="4">
        <v>0</v>
      </c>
      <c r="L22" s="4">
        <v>9</v>
      </c>
      <c r="M22" s="4" t="s">
        <v>18</v>
      </c>
      <c r="N22" s="5">
        <v>45983</v>
      </c>
      <c r="O22" s="4"/>
      <c r="P22" s="6" t="s">
        <v>20</v>
      </c>
      <c r="Q22" s="7">
        <f>VLOOKUP('60 sku - o qty &gt;0'!A22,'60 duplicate arriving'!A:H,8,FALSE)</f>
        <v>9</v>
      </c>
      <c r="R22" t="str">
        <f t="shared" si="0"/>
        <v>Match</v>
      </c>
    </row>
    <row r="23" spans="1:18" ht="30">
      <c r="A23" t="s">
        <v>63</v>
      </c>
      <c r="B23" s="9" t="s">
        <v>64</v>
      </c>
      <c r="C23" s="9">
        <v>0</v>
      </c>
      <c r="D23" s="9">
        <v>0</v>
      </c>
      <c r="E23" s="9">
        <v>14</v>
      </c>
      <c r="F23" s="9">
        <v>4</v>
      </c>
      <c r="G23" s="9">
        <v>10</v>
      </c>
      <c r="H23" s="9">
        <v>10</v>
      </c>
      <c r="I23" s="9">
        <v>10</v>
      </c>
      <c r="J23" s="9">
        <v>0</v>
      </c>
      <c r="K23" s="9">
        <v>0</v>
      </c>
      <c r="L23" s="9">
        <v>10</v>
      </c>
      <c r="M23" s="9" t="s">
        <v>18</v>
      </c>
      <c r="N23" s="10">
        <v>45983</v>
      </c>
      <c r="O23" s="9"/>
      <c r="P23" s="11" t="s">
        <v>20</v>
      </c>
      <c r="Q23" s="12">
        <f>VLOOKUP('60 sku - o qty &gt;0'!A23,'60 duplicate arriving'!A:H,8,FALSE)</f>
        <v>10</v>
      </c>
      <c r="R23" t="str">
        <f t="shared" si="0"/>
        <v>Match</v>
      </c>
    </row>
    <row r="24" spans="1:18" ht="20.25">
      <c r="A24" t="s">
        <v>65</v>
      </c>
      <c r="B24" s="4" t="s">
        <v>66</v>
      </c>
      <c r="C24" s="4">
        <v>0</v>
      </c>
      <c r="D24" s="4">
        <v>0</v>
      </c>
      <c r="E24" s="4">
        <v>40</v>
      </c>
      <c r="F24" s="4">
        <v>30</v>
      </c>
      <c r="G24" s="4">
        <v>10</v>
      </c>
      <c r="H24" s="4">
        <v>40</v>
      </c>
      <c r="I24" s="4">
        <v>40</v>
      </c>
      <c r="J24" s="4">
        <v>0</v>
      </c>
      <c r="K24" s="4">
        <v>0</v>
      </c>
      <c r="L24" s="4">
        <v>40</v>
      </c>
      <c r="M24" s="4" t="s">
        <v>18</v>
      </c>
      <c r="N24" s="5">
        <v>45983</v>
      </c>
      <c r="O24" s="4"/>
      <c r="P24" s="6" t="s">
        <v>20</v>
      </c>
      <c r="Q24" s="7">
        <f>VLOOKUP('60 sku - o qty &gt;0'!A24,'60 duplicate arriving'!A:H,8,FALSE)</f>
        <v>40</v>
      </c>
      <c r="R24" t="str">
        <f t="shared" si="0"/>
        <v>Match</v>
      </c>
    </row>
    <row r="25" spans="1:18" ht="20.25">
      <c r="A25" t="s">
        <v>67</v>
      </c>
      <c r="B25" s="9" t="s">
        <v>68</v>
      </c>
      <c r="C25" s="9">
        <v>0</v>
      </c>
      <c r="D25" s="9">
        <v>0</v>
      </c>
      <c r="E25" s="9">
        <v>40</v>
      </c>
      <c r="F25" s="9">
        <v>10</v>
      </c>
      <c r="G25" s="9">
        <v>30</v>
      </c>
      <c r="H25" s="9">
        <v>30</v>
      </c>
      <c r="I25" s="9">
        <v>30</v>
      </c>
      <c r="J25" s="9">
        <v>0</v>
      </c>
      <c r="K25" s="9">
        <v>0</v>
      </c>
      <c r="L25" s="9">
        <v>30</v>
      </c>
      <c r="M25" s="9" t="s">
        <v>18</v>
      </c>
      <c r="N25" s="10">
        <v>45983</v>
      </c>
      <c r="O25" s="9"/>
      <c r="P25" s="11" t="s">
        <v>20</v>
      </c>
      <c r="Q25" s="12">
        <f>VLOOKUP('60 sku - o qty &gt;0'!A25,'60 duplicate arriving'!A:H,8,FALSE)</f>
        <v>30</v>
      </c>
      <c r="R25" t="str">
        <f t="shared" si="0"/>
        <v>Match</v>
      </c>
    </row>
    <row r="26" spans="1:18" ht="20.25">
      <c r="A26" t="s">
        <v>69</v>
      </c>
      <c r="B26" s="4" t="s">
        <v>70</v>
      </c>
      <c r="C26" s="4">
        <v>0</v>
      </c>
      <c r="D26" s="4">
        <v>0</v>
      </c>
      <c r="E26" s="4">
        <v>12</v>
      </c>
      <c r="F26" s="4">
        <v>6</v>
      </c>
      <c r="G26" s="4">
        <v>6</v>
      </c>
      <c r="H26" s="4">
        <v>12</v>
      </c>
      <c r="I26" s="4">
        <v>12</v>
      </c>
      <c r="J26" s="4">
        <v>0</v>
      </c>
      <c r="K26" s="4">
        <v>0</v>
      </c>
      <c r="L26" s="4">
        <v>12</v>
      </c>
      <c r="M26" s="4" t="s">
        <v>18</v>
      </c>
      <c r="N26" s="5">
        <v>45983</v>
      </c>
      <c r="O26" s="4"/>
      <c r="P26" s="6" t="s">
        <v>20</v>
      </c>
      <c r="Q26" s="7">
        <f>VLOOKUP('60 sku - o qty &gt;0'!A26,'60 duplicate arriving'!A:H,8,FALSE)</f>
        <v>12</v>
      </c>
      <c r="R26" t="str">
        <f t="shared" si="0"/>
        <v>Match</v>
      </c>
    </row>
    <row r="27" spans="1:18" ht="45">
      <c r="A27" t="s">
        <v>71</v>
      </c>
      <c r="B27" s="9" t="s">
        <v>72</v>
      </c>
      <c r="C27" s="9">
        <v>0</v>
      </c>
      <c r="D27" s="9">
        <v>0</v>
      </c>
      <c r="E27" s="9">
        <v>12</v>
      </c>
      <c r="F27" s="9">
        <v>6</v>
      </c>
      <c r="G27" s="9">
        <v>6</v>
      </c>
      <c r="H27" s="9">
        <v>12</v>
      </c>
      <c r="I27" s="9">
        <v>12</v>
      </c>
      <c r="J27" s="9">
        <v>0</v>
      </c>
      <c r="K27" s="9">
        <v>0</v>
      </c>
      <c r="L27" s="9">
        <v>12</v>
      </c>
      <c r="M27" s="9" t="s">
        <v>18</v>
      </c>
      <c r="N27" s="10">
        <v>45983</v>
      </c>
      <c r="O27" s="9"/>
      <c r="P27" s="11" t="s">
        <v>20</v>
      </c>
      <c r="Q27" s="12">
        <f>VLOOKUP('60 sku - o qty &gt;0'!A27,'60 duplicate arriving'!A:H,8,FALSE)</f>
        <v>12</v>
      </c>
      <c r="R27" t="str">
        <f t="shared" si="0"/>
        <v>Match</v>
      </c>
    </row>
    <row r="28" spans="1:18" ht="20.25">
      <c r="A28" t="s">
        <v>73</v>
      </c>
      <c r="B28" s="4" t="s">
        <v>74</v>
      </c>
      <c r="C28" s="4">
        <v>0</v>
      </c>
      <c r="D28" s="4">
        <v>0</v>
      </c>
      <c r="E28" s="4">
        <v>18</v>
      </c>
      <c r="F28" s="4">
        <v>6</v>
      </c>
      <c r="G28" s="4">
        <v>12</v>
      </c>
      <c r="H28" s="4">
        <v>12</v>
      </c>
      <c r="I28" s="4">
        <v>12</v>
      </c>
      <c r="J28" s="4">
        <v>0</v>
      </c>
      <c r="K28" s="4">
        <v>0</v>
      </c>
      <c r="L28" s="4">
        <v>12</v>
      </c>
      <c r="M28" s="4" t="s">
        <v>18</v>
      </c>
      <c r="N28" s="5">
        <v>45983</v>
      </c>
      <c r="O28" s="4"/>
      <c r="P28" s="6" t="s">
        <v>20</v>
      </c>
      <c r="Q28" s="7">
        <f>VLOOKUP('60 sku - o qty &gt;0'!A28,'60 duplicate arriving'!A:H,8,FALSE)</f>
        <v>12</v>
      </c>
      <c r="R28" t="str">
        <f t="shared" si="0"/>
        <v>Match</v>
      </c>
    </row>
    <row r="29" spans="1:18" ht="20.25">
      <c r="A29" t="s">
        <v>75</v>
      </c>
      <c r="B29" s="9" t="s">
        <v>76</v>
      </c>
      <c r="C29" s="9">
        <v>0</v>
      </c>
      <c r="D29" s="9">
        <v>0</v>
      </c>
      <c r="E29" s="9">
        <v>36</v>
      </c>
      <c r="F29" s="9">
        <v>6</v>
      </c>
      <c r="G29" s="9">
        <v>30</v>
      </c>
      <c r="H29" s="9">
        <v>30</v>
      </c>
      <c r="I29" s="9">
        <v>30</v>
      </c>
      <c r="J29" s="9">
        <v>0</v>
      </c>
      <c r="K29" s="9">
        <v>0</v>
      </c>
      <c r="L29" s="9">
        <v>30</v>
      </c>
      <c r="M29" s="9" t="s">
        <v>18</v>
      </c>
      <c r="N29" s="10">
        <v>45983</v>
      </c>
      <c r="O29" s="9"/>
      <c r="P29" s="11" t="s">
        <v>20</v>
      </c>
      <c r="Q29" s="12">
        <f>VLOOKUP('60 sku - o qty &gt;0'!A29,'60 duplicate arriving'!A:H,8,FALSE)</f>
        <v>30</v>
      </c>
      <c r="R29" t="str">
        <f t="shared" si="0"/>
        <v>Match</v>
      </c>
    </row>
    <row r="30" spans="1:18" ht="20.25">
      <c r="A30" t="s">
        <v>77</v>
      </c>
      <c r="B30" s="4" t="s">
        <v>78</v>
      </c>
      <c r="C30" s="4">
        <v>0</v>
      </c>
      <c r="D30" s="4">
        <v>0</v>
      </c>
      <c r="E30" s="4">
        <v>18</v>
      </c>
      <c r="F30" s="4">
        <v>6</v>
      </c>
      <c r="G30" s="4">
        <v>12</v>
      </c>
      <c r="H30" s="4">
        <v>12</v>
      </c>
      <c r="I30" s="4">
        <v>12</v>
      </c>
      <c r="J30" s="4">
        <v>0</v>
      </c>
      <c r="K30" s="4">
        <v>0</v>
      </c>
      <c r="L30" s="4">
        <v>12</v>
      </c>
      <c r="M30" s="4" t="s">
        <v>18</v>
      </c>
      <c r="N30" s="5">
        <v>45983</v>
      </c>
      <c r="O30" s="4"/>
      <c r="P30" s="6" t="s">
        <v>20</v>
      </c>
      <c r="Q30" s="7">
        <f>VLOOKUP('60 sku - o qty &gt;0'!A30,'60 duplicate arriving'!A:H,8,FALSE)</f>
        <v>12</v>
      </c>
      <c r="R30" t="str">
        <f t="shared" si="0"/>
        <v>Match</v>
      </c>
    </row>
    <row r="31" spans="1:18" ht="20.25">
      <c r="A31" t="s">
        <v>79</v>
      </c>
      <c r="B31" s="9" t="s">
        <v>80</v>
      </c>
      <c r="C31" s="9">
        <v>0</v>
      </c>
      <c r="D31" s="9">
        <v>0</v>
      </c>
      <c r="E31" s="9">
        <v>12</v>
      </c>
      <c r="F31" s="9">
        <v>6</v>
      </c>
      <c r="G31" s="9">
        <v>6</v>
      </c>
      <c r="H31" s="9">
        <v>12</v>
      </c>
      <c r="I31" s="9">
        <v>12</v>
      </c>
      <c r="J31" s="9">
        <v>0</v>
      </c>
      <c r="K31" s="9">
        <v>0</v>
      </c>
      <c r="L31" s="9">
        <v>12</v>
      </c>
      <c r="M31" s="9" t="s">
        <v>18</v>
      </c>
      <c r="N31" s="10">
        <v>45983</v>
      </c>
      <c r="O31" s="9"/>
      <c r="P31" s="11" t="s">
        <v>20</v>
      </c>
      <c r="Q31" s="12">
        <f>VLOOKUP('60 sku - o qty &gt;0'!A31,'60 duplicate arriving'!A:H,8,FALSE)</f>
        <v>12</v>
      </c>
      <c r="R31" t="str">
        <f t="shared" si="0"/>
        <v>Match</v>
      </c>
    </row>
    <row r="32" spans="1:18" ht="20.25">
      <c r="A32" t="s">
        <v>81</v>
      </c>
      <c r="B32" s="4" t="s">
        <v>82</v>
      </c>
      <c r="C32" s="4">
        <v>0</v>
      </c>
      <c r="D32" s="4">
        <v>0</v>
      </c>
      <c r="E32" s="4">
        <v>22</v>
      </c>
      <c r="F32" s="4">
        <v>6</v>
      </c>
      <c r="G32" s="4">
        <v>16</v>
      </c>
      <c r="H32" s="4">
        <v>16</v>
      </c>
      <c r="I32" s="4">
        <v>16</v>
      </c>
      <c r="J32" s="4">
        <v>0</v>
      </c>
      <c r="K32" s="4">
        <v>0</v>
      </c>
      <c r="L32" s="4">
        <v>16</v>
      </c>
      <c r="M32" s="4" t="s">
        <v>18</v>
      </c>
      <c r="N32" s="5">
        <v>45983</v>
      </c>
      <c r="O32" s="4"/>
      <c r="P32" s="6" t="s">
        <v>20</v>
      </c>
      <c r="Q32" s="7">
        <f>VLOOKUP('60 sku - o qty &gt;0'!A32,'60 duplicate arriving'!A:H,8,FALSE)</f>
        <v>16</v>
      </c>
      <c r="R32" t="str">
        <f t="shared" si="0"/>
        <v>Match</v>
      </c>
    </row>
    <row r="33" spans="1:18" ht="20.25">
      <c r="A33" t="s">
        <v>83</v>
      </c>
      <c r="B33" s="9" t="s">
        <v>84</v>
      </c>
      <c r="C33" s="9">
        <v>0</v>
      </c>
      <c r="D33" s="9">
        <v>0</v>
      </c>
      <c r="E33" s="9">
        <v>48</v>
      </c>
      <c r="F33" s="9">
        <v>24</v>
      </c>
      <c r="G33" s="9">
        <v>24</v>
      </c>
      <c r="H33" s="9">
        <v>48</v>
      </c>
      <c r="I33" s="9">
        <v>48</v>
      </c>
      <c r="J33" s="9">
        <v>0</v>
      </c>
      <c r="K33" s="9">
        <v>0</v>
      </c>
      <c r="L33" s="9">
        <v>48</v>
      </c>
      <c r="M33" s="9" t="s">
        <v>18</v>
      </c>
      <c r="N33" s="10">
        <v>45983</v>
      </c>
      <c r="O33" s="9"/>
      <c r="P33" s="11" t="s">
        <v>20</v>
      </c>
      <c r="Q33" s="12">
        <f>VLOOKUP('60 sku - o qty &gt;0'!A33,'60 duplicate arriving'!A:H,8,FALSE)</f>
        <v>48</v>
      </c>
      <c r="R33" t="str">
        <f t="shared" si="0"/>
        <v>Match</v>
      </c>
    </row>
    <row r="34" spans="1:18" ht="20.25">
      <c r="A34" t="s">
        <v>85</v>
      </c>
      <c r="B34" s="4" t="s">
        <v>86</v>
      </c>
      <c r="C34" s="4">
        <v>0</v>
      </c>
      <c r="D34" s="4">
        <v>0</v>
      </c>
      <c r="E34" s="4">
        <v>48</v>
      </c>
      <c r="F34" s="4">
        <v>24</v>
      </c>
      <c r="G34" s="4">
        <v>24</v>
      </c>
      <c r="H34" s="4">
        <v>48</v>
      </c>
      <c r="I34" s="4">
        <v>48</v>
      </c>
      <c r="J34" s="4">
        <v>0</v>
      </c>
      <c r="K34" s="4">
        <v>0</v>
      </c>
      <c r="L34" s="4">
        <v>48</v>
      </c>
      <c r="M34" s="4" t="s">
        <v>18</v>
      </c>
      <c r="N34" s="5">
        <v>45983</v>
      </c>
      <c r="O34" s="4"/>
      <c r="P34" s="6" t="s">
        <v>20</v>
      </c>
      <c r="Q34" s="7">
        <f>VLOOKUP('60 sku - o qty &gt;0'!A34,'60 duplicate arriving'!A:H,8,FALSE)</f>
        <v>48</v>
      </c>
      <c r="R34" t="str">
        <f t="shared" si="0"/>
        <v>Match</v>
      </c>
    </row>
    <row r="35" spans="1:18" ht="20.25">
      <c r="A35" t="s">
        <v>87</v>
      </c>
      <c r="B35" s="9" t="s">
        <v>88</v>
      </c>
      <c r="C35" s="9">
        <v>0</v>
      </c>
      <c r="D35" s="9">
        <v>0</v>
      </c>
      <c r="E35" s="9">
        <v>48</v>
      </c>
      <c r="F35" s="9">
        <v>24</v>
      </c>
      <c r="G35" s="9">
        <v>24</v>
      </c>
      <c r="H35" s="9">
        <v>48</v>
      </c>
      <c r="I35" s="9">
        <v>48</v>
      </c>
      <c r="J35" s="9">
        <v>0</v>
      </c>
      <c r="K35" s="9">
        <v>0</v>
      </c>
      <c r="L35" s="9">
        <v>48</v>
      </c>
      <c r="M35" s="9" t="s">
        <v>18</v>
      </c>
      <c r="N35" s="10">
        <v>45983</v>
      </c>
      <c r="O35" s="9"/>
      <c r="P35" s="11" t="s">
        <v>20</v>
      </c>
      <c r="Q35" s="12">
        <f>VLOOKUP('60 sku - o qty &gt;0'!A35,'60 duplicate arriving'!A:H,8,FALSE)</f>
        <v>48</v>
      </c>
      <c r="R35" t="str">
        <f t="shared" si="0"/>
        <v>Match</v>
      </c>
    </row>
    <row r="36" spans="1:18" ht="20.25">
      <c r="A36" t="s">
        <v>89</v>
      </c>
      <c r="B36" s="4" t="s">
        <v>90</v>
      </c>
      <c r="C36" s="4">
        <v>0</v>
      </c>
      <c r="D36" s="4">
        <v>0</v>
      </c>
      <c r="E36" s="4">
        <v>48</v>
      </c>
      <c r="F36" s="4">
        <v>24</v>
      </c>
      <c r="G36" s="4">
        <v>24</v>
      </c>
      <c r="H36" s="4">
        <v>48</v>
      </c>
      <c r="I36" s="4">
        <v>48</v>
      </c>
      <c r="J36" s="4">
        <v>0</v>
      </c>
      <c r="K36" s="4">
        <v>0</v>
      </c>
      <c r="L36" s="4">
        <v>48</v>
      </c>
      <c r="M36" s="4" t="s">
        <v>18</v>
      </c>
      <c r="N36" s="5">
        <v>45983</v>
      </c>
      <c r="O36" s="4"/>
      <c r="P36" s="6" t="s">
        <v>20</v>
      </c>
      <c r="Q36" s="7">
        <f>VLOOKUP('60 sku - o qty &gt;0'!A36,'60 duplicate arriving'!A:H,8,FALSE)</f>
        <v>48</v>
      </c>
      <c r="R36" t="str">
        <f t="shared" si="0"/>
        <v>Match</v>
      </c>
    </row>
    <row r="37" spans="1:18" ht="20.25">
      <c r="A37" t="s">
        <v>91</v>
      </c>
      <c r="B37" s="9" t="s">
        <v>92</v>
      </c>
      <c r="C37" s="9">
        <v>0</v>
      </c>
      <c r="D37" s="9">
        <v>0</v>
      </c>
      <c r="E37" s="9">
        <v>42</v>
      </c>
      <c r="F37" s="9">
        <v>12</v>
      </c>
      <c r="G37" s="9">
        <v>30</v>
      </c>
      <c r="H37" s="9">
        <v>30</v>
      </c>
      <c r="I37" s="9">
        <v>30</v>
      </c>
      <c r="J37" s="9">
        <v>0</v>
      </c>
      <c r="K37" s="9">
        <v>0</v>
      </c>
      <c r="L37" s="9">
        <v>30</v>
      </c>
      <c r="M37" s="9" t="s">
        <v>18</v>
      </c>
      <c r="N37" s="10">
        <v>45983</v>
      </c>
      <c r="O37" s="9"/>
      <c r="P37" s="11" t="s">
        <v>20</v>
      </c>
      <c r="Q37" s="12">
        <f>VLOOKUP('60 sku - o qty &gt;0'!A37,'60 duplicate arriving'!A:H,8,FALSE)</f>
        <v>30</v>
      </c>
      <c r="R37" t="str">
        <f t="shared" si="0"/>
        <v>Match</v>
      </c>
    </row>
    <row r="38" spans="1:18" ht="20.25">
      <c r="A38" t="s">
        <v>93</v>
      </c>
      <c r="B38" s="4" t="s">
        <v>94</v>
      </c>
      <c r="C38" s="4">
        <v>0</v>
      </c>
      <c r="D38" s="4">
        <v>0</v>
      </c>
      <c r="E38" s="4">
        <v>42</v>
      </c>
      <c r="F38" s="4">
        <v>12</v>
      </c>
      <c r="G38" s="4">
        <v>30</v>
      </c>
      <c r="H38" s="4">
        <v>30</v>
      </c>
      <c r="I38" s="4">
        <v>30</v>
      </c>
      <c r="J38" s="4">
        <v>0</v>
      </c>
      <c r="K38" s="4">
        <v>0</v>
      </c>
      <c r="L38" s="4">
        <v>30</v>
      </c>
      <c r="M38" s="4" t="s">
        <v>18</v>
      </c>
      <c r="N38" s="5">
        <v>45983</v>
      </c>
      <c r="O38" s="4"/>
      <c r="P38" s="6" t="s">
        <v>20</v>
      </c>
      <c r="Q38" s="7">
        <f>VLOOKUP('60 sku - o qty &gt;0'!A38,'60 duplicate arriving'!A:H,8,FALSE)</f>
        <v>30</v>
      </c>
      <c r="R38" t="str">
        <f t="shared" si="0"/>
        <v>Match</v>
      </c>
    </row>
    <row r="39" spans="1:18" ht="20.25">
      <c r="A39" t="s">
        <v>95</v>
      </c>
      <c r="B39" s="9" t="s">
        <v>96</v>
      </c>
      <c r="C39" s="9">
        <v>0</v>
      </c>
      <c r="D39" s="9">
        <v>0</v>
      </c>
      <c r="E39" s="9">
        <v>42</v>
      </c>
      <c r="F39" s="9">
        <v>12</v>
      </c>
      <c r="G39" s="9">
        <v>30</v>
      </c>
      <c r="H39" s="9">
        <v>30</v>
      </c>
      <c r="I39" s="9">
        <v>30</v>
      </c>
      <c r="J39" s="9">
        <v>0</v>
      </c>
      <c r="K39" s="9">
        <v>0</v>
      </c>
      <c r="L39" s="9">
        <v>30</v>
      </c>
      <c r="M39" s="9" t="s">
        <v>18</v>
      </c>
      <c r="N39" s="10">
        <v>45983</v>
      </c>
      <c r="O39" s="9"/>
      <c r="P39" s="11" t="s">
        <v>20</v>
      </c>
      <c r="Q39" s="12">
        <f>VLOOKUP('60 sku - o qty &gt;0'!A39,'60 duplicate arriving'!A:H,8,FALSE)</f>
        <v>30</v>
      </c>
      <c r="R39" t="str">
        <f t="shared" si="0"/>
        <v>Match</v>
      </c>
    </row>
    <row r="40" spans="1:18" ht="20.25">
      <c r="A40" t="s">
        <v>97</v>
      </c>
      <c r="B40" s="4" t="s">
        <v>98</v>
      </c>
      <c r="C40" s="4">
        <v>0</v>
      </c>
      <c r="D40" s="4">
        <v>0</v>
      </c>
      <c r="E40" s="4">
        <v>48</v>
      </c>
      <c r="F40" s="4">
        <v>24</v>
      </c>
      <c r="G40" s="4">
        <v>24</v>
      </c>
      <c r="H40" s="4">
        <v>48</v>
      </c>
      <c r="I40" s="4">
        <v>48</v>
      </c>
      <c r="J40" s="4">
        <v>0</v>
      </c>
      <c r="K40" s="4">
        <v>0</v>
      </c>
      <c r="L40" s="4">
        <v>48</v>
      </c>
      <c r="M40" s="4" t="s">
        <v>18</v>
      </c>
      <c r="N40" s="5">
        <v>45983</v>
      </c>
      <c r="O40" s="4"/>
      <c r="P40" s="6" t="s">
        <v>20</v>
      </c>
      <c r="Q40" s="7">
        <f>VLOOKUP('60 sku - o qty &gt;0'!A40,'60 duplicate arriving'!A:H,8,FALSE)</f>
        <v>48</v>
      </c>
      <c r="R40" t="str">
        <f t="shared" si="0"/>
        <v>Match</v>
      </c>
    </row>
    <row r="41" spans="1:18" ht="20.25">
      <c r="A41" t="s">
        <v>99</v>
      </c>
      <c r="B41" s="9" t="s">
        <v>100</v>
      </c>
      <c r="C41" s="9">
        <v>0</v>
      </c>
      <c r="D41" s="9">
        <v>0</v>
      </c>
      <c r="E41" s="9">
        <v>42</v>
      </c>
      <c r="F41" s="9">
        <v>12</v>
      </c>
      <c r="G41" s="9">
        <v>30</v>
      </c>
      <c r="H41" s="9">
        <v>30</v>
      </c>
      <c r="I41" s="9">
        <v>30</v>
      </c>
      <c r="J41" s="9">
        <v>0</v>
      </c>
      <c r="K41" s="9">
        <v>0</v>
      </c>
      <c r="L41" s="9">
        <v>30</v>
      </c>
      <c r="M41" s="9" t="s">
        <v>18</v>
      </c>
      <c r="N41" s="10">
        <v>45983</v>
      </c>
      <c r="O41" s="9"/>
      <c r="P41" s="11" t="s">
        <v>20</v>
      </c>
      <c r="Q41" s="12">
        <f>VLOOKUP('60 sku - o qty &gt;0'!A41,'60 duplicate arriving'!A:H,8,FALSE)</f>
        <v>30</v>
      </c>
      <c r="R41" t="str">
        <f t="shared" si="0"/>
        <v>Match</v>
      </c>
    </row>
    <row r="42" spans="1:18" ht="20.25">
      <c r="A42" t="s">
        <v>101</v>
      </c>
      <c r="B42" s="4" t="s">
        <v>102</v>
      </c>
      <c r="C42" s="4">
        <v>0</v>
      </c>
      <c r="D42" s="4">
        <v>0</v>
      </c>
      <c r="E42" s="4">
        <v>42</v>
      </c>
      <c r="F42" s="4">
        <v>12</v>
      </c>
      <c r="G42" s="4">
        <v>30</v>
      </c>
      <c r="H42" s="4">
        <v>30</v>
      </c>
      <c r="I42" s="4">
        <v>30</v>
      </c>
      <c r="J42" s="4">
        <v>0</v>
      </c>
      <c r="K42" s="4">
        <v>0</v>
      </c>
      <c r="L42" s="4">
        <v>30</v>
      </c>
      <c r="M42" s="4" t="s">
        <v>18</v>
      </c>
      <c r="N42" s="5">
        <v>45983</v>
      </c>
      <c r="O42" s="4"/>
      <c r="P42" s="6" t="s">
        <v>20</v>
      </c>
      <c r="Q42" s="7">
        <f>VLOOKUP('60 sku - o qty &gt;0'!A42,'60 duplicate arriving'!A:H,8,FALSE)</f>
        <v>30</v>
      </c>
      <c r="R42" t="str">
        <f t="shared" si="0"/>
        <v>Match</v>
      </c>
    </row>
    <row r="43" spans="1:18" ht="20.25">
      <c r="A43" t="s">
        <v>103</v>
      </c>
      <c r="B43" s="9" t="s">
        <v>104</v>
      </c>
      <c r="C43" s="9">
        <v>0</v>
      </c>
      <c r="D43" s="9">
        <v>0</v>
      </c>
      <c r="E43" s="9">
        <v>42</v>
      </c>
      <c r="F43" s="9">
        <v>12</v>
      </c>
      <c r="G43" s="9">
        <v>30</v>
      </c>
      <c r="H43" s="9">
        <v>30</v>
      </c>
      <c r="I43" s="9">
        <v>30</v>
      </c>
      <c r="J43" s="9">
        <v>0</v>
      </c>
      <c r="K43" s="9">
        <v>0</v>
      </c>
      <c r="L43" s="9">
        <v>30</v>
      </c>
      <c r="M43" s="9" t="s">
        <v>18</v>
      </c>
      <c r="N43" s="10">
        <v>45983</v>
      </c>
      <c r="O43" s="9"/>
      <c r="P43" s="11" t="s">
        <v>20</v>
      </c>
      <c r="Q43" s="12">
        <f>VLOOKUP('60 sku - o qty &gt;0'!A43,'60 duplicate arriving'!A:H,8,FALSE)</f>
        <v>30</v>
      </c>
      <c r="R43" t="str">
        <f t="shared" si="0"/>
        <v>Match</v>
      </c>
    </row>
    <row r="44" spans="1:18" ht="20.25">
      <c r="A44" t="s">
        <v>105</v>
      </c>
      <c r="B44" s="4" t="s">
        <v>106</v>
      </c>
      <c r="C44" s="4">
        <v>0</v>
      </c>
      <c r="D44" s="4">
        <v>0</v>
      </c>
      <c r="E44" s="4">
        <v>42</v>
      </c>
      <c r="F44" s="4">
        <v>12</v>
      </c>
      <c r="G44" s="4">
        <v>30</v>
      </c>
      <c r="H44" s="4">
        <v>30</v>
      </c>
      <c r="I44" s="4">
        <v>30</v>
      </c>
      <c r="J44" s="4">
        <v>0</v>
      </c>
      <c r="K44" s="4">
        <v>0</v>
      </c>
      <c r="L44" s="4">
        <v>30</v>
      </c>
      <c r="M44" s="4" t="s">
        <v>18</v>
      </c>
      <c r="N44" s="5">
        <v>45983</v>
      </c>
      <c r="O44" s="4"/>
      <c r="P44" s="6" t="s">
        <v>20</v>
      </c>
      <c r="Q44" s="7">
        <f>VLOOKUP('60 sku - o qty &gt;0'!A44,'60 duplicate arriving'!A:H,8,FALSE)</f>
        <v>30</v>
      </c>
      <c r="R44" t="str">
        <f t="shared" si="0"/>
        <v>Match</v>
      </c>
    </row>
    <row r="45" spans="1:18" ht="20.25">
      <c r="A45" t="s">
        <v>107</v>
      </c>
      <c r="B45" s="9" t="s">
        <v>108</v>
      </c>
      <c r="C45" s="9">
        <v>0</v>
      </c>
      <c r="D45" s="9">
        <v>0</v>
      </c>
      <c r="E45" s="9">
        <v>10</v>
      </c>
      <c r="F45" s="9">
        <v>5</v>
      </c>
      <c r="G45" s="9">
        <v>5</v>
      </c>
      <c r="H45" s="9">
        <v>10</v>
      </c>
      <c r="I45" s="9">
        <v>10</v>
      </c>
      <c r="J45" s="9">
        <v>0</v>
      </c>
      <c r="K45" s="9">
        <v>0</v>
      </c>
      <c r="L45" s="9">
        <v>10</v>
      </c>
      <c r="M45" s="9" t="s">
        <v>18</v>
      </c>
      <c r="N45" s="10">
        <v>45983</v>
      </c>
      <c r="O45" s="9"/>
      <c r="P45" s="11" t="s">
        <v>20</v>
      </c>
      <c r="Q45" s="12">
        <f>VLOOKUP('60 sku - o qty &gt;0'!A45,'60 duplicate arriving'!A:H,8,FALSE)</f>
        <v>10</v>
      </c>
      <c r="R45" t="str">
        <f t="shared" si="0"/>
        <v>Match</v>
      </c>
    </row>
    <row r="46" spans="1:18" ht="20.25">
      <c r="A46" t="s">
        <v>109</v>
      </c>
      <c r="B46" s="4" t="s">
        <v>110</v>
      </c>
      <c r="C46" s="4">
        <v>0</v>
      </c>
      <c r="D46" s="4">
        <v>0</v>
      </c>
      <c r="E46" s="4">
        <v>30</v>
      </c>
      <c r="F46" s="4">
        <v>6</v>
      </c>
      <c r="G46" s="4">
        <v>24</v>
      </c>
      <c r="H46" s="4">
        <v>24</v>
      </c>
      <c r="I46" s="4">
        <v>24</v>
      </c>
      <c r="J46" s="4">
        <v>0</v>
      </c>
      <c r="K46" s="4">
        <v>0</v>
      </c>
      <c r="L46" s="4">
        <v>24</v>
      </c>
      <c r="M46" s="4" t="s">
        <v>18</v>
      </c>
      <c r="N46" s="5">
        <v>45983</v>
      </c>
      <c r="O46" s="4"/>
      <c r="P46" s="6" t="s">
        <v>20</v>
      </c>
      <c r="Q46" s="7">
        <f>VLOOKUP('60 sku - o qty &gt;0'!A46,'60 duplicate arriving'!A:H,8,FALSE)</f>
        <v>24</v>
      </c>
      <c r="R46" t="str">
        <f t="shared" si="0"/>
        <v>Match</v>
      </c>
    </row>
    <row r="47" spans="1:18" ht="20.25">
      <c r="A47" t="s">
        <v>111</v>
      </c>
      <c r="B47" s="9" t="s">
        <v>112</v>
      </c>
      <c r="C47" s="9">
        <v>0</v>
      </c>
      <c r="D47" s="9">
        <v>0</v>
      </c>
      <c r="E47" s="9">
        <v>18</v>
      </c>
      <c r="F47" s="9">
        <v>6</v>
      </c>
      <c r="G47" s="9">
        <v>12</v>
      </c>
      <c r="H47" s="9">
        <v>12</v>
      </c>
      <c r="I47" s="9">
        <v>12</v>
      </c>
      <c r="J47" s="9">
        <v>0</v>
      </c>
      <c r="K47" s="9">
        <v>0</v>
      </c>
      <c r="L47" s="9">
        <v>12</v>
      </c>
      <c r="M47" s="9" t="s">
        <v>18</v>
      </c>
      <c r="N47" s="10">
        <v>45983</v>
      </c>
      <c r="O47" s="9"/>
      <c r="P47" s="11" t="s">
        <v>20</v>
      </c>
      <c r="Q47" s="12">
        <f>VLOOKUP('60 sku - o qty &gt;0'!A47,'60 duplicate arriving'!A:H,8,FALSE)</f>
        <v>12</v>
      </c>
      <c r="R47" t="str">
        <f t="shared" si="0"/>
        <v>Match</v>
      </c>
    </row>
    <row r="48" spans="1:18" ht="20.25">
      <c r="A48" t="s">
        <v>113</v>
      </c>
      <c r="B48" s="4" t="s">
        <v>114</v>
      </c>
      <c r="C48" s="4">
        <v>0</v>
      </c>
      <c r="D48" s="4">
        <v>0</v>
      </c>
      <c r="E48" s="4">
        <v>30</v>
      </c>
      <c r="F48" s="4">
        <v>6</v>
      </c>
      <c r="G48" s="4">
        <v>24</v>
      </c>
      <c r="H48" s="4">
        <v>24</v>
      </c>
      <c r="I48" s="4">
        <v>24</v>
      </c>
      <c r="J48" s="4">
        <v>0</v>
      </c>
      <c r="K48" s="4">
        <v>0</v>
      </c>
      <c r="L48" s="4">
        <v>24</v>
      </c>
      <c r="M48" s="4" t="s">
        <v>18</v>
      </c>
      <c r="N48" s="5">
        <v>45983</v>
      </c>
      <c r="O48" s="4"/>
      <c r="P48" s="6" t="s">
        <v>20</v>
      </c>
      <c r="Q48" s="7">
        <f>VLOOKUP('60 sku - o qty &gt;0'!A48,'60 duplicate arriving'!A:H,8,FALSE)</f>
        <v>24</v>
      </c>
      <c r="R48" t="str">
        <f t="shared" si="0"/>
        <v>Match</v>
      </c>
    </row>
    <row r="49" spans="1:18" ht="20.25">
      <c r="A49" t="s">
        <v>115</v>
      </c>
      <c r="B49" s="9" t="s">
        <v>116</v>
      </c>
      <c r="C49" s="9">
        <v>0</v>
      </c>
      <c r="D49" s="9">
        <v>0</v>
      </c>
      <c r="E49" s="9">
        <v>18</v>
      </c>
      <c r="F49" s="9">
        <v>6</v>
      </c>
      <c r="G49" s="9">
        <v>12</v>
      </c>
      <c r="H49" s="9">
        <v>12</v>
      </c>
      <c r="I49" s="9">
        <v>12</v>
      </c>
      <c r="J49" s="9">
        <v>0</v>
      </c>
      <c r="K49" s="9">
        <v>0</v>
      </c>
      <c r="L49" s="9">
        <v>12</v>
      </c>
      <c r="M49" s="9" t="s">
        <v>18</v>
      </c>
      <c r="N49" s="10">
        <v>45983</v>
      </c>
      <c r="O49" s="9"/>
      <c r="P49" s="11" t="s">
        <v>20</v>
      </c>
      <c r="Q49" s="12">
        <f>VLOOKUP('60 sku - o qty &gt;0'!A49,'60 duplicate arriving'!A:H,8,FALSE)</f>
        <v>12</v>
      </c>
      <c r="R49" t="str">
        <f t="shared" si="0"/>
        <v>Match</v>
      </c>
    </row>
    <row r="50" spans="1:18" ht="20.25">
      <c r="A50" t="s">
        <v>117</v>
      </c>
      <c r="B50" s="4" t="s">
        <v>118</v>
      </c>
      <c r="C50" s="4">
        <v>0</v>
      </c>
      <c r="D50" s="4">
        <v>0</v>
      </c>
      <c r="E50" s="4">
        <v>18</v>
      </c>
      <c r="F50" s="4">
        <v>6</v>
      </c>
      <c r="G50" s="4">
        <v>12</v>
      </c>
      <c r="H50" s="4">
        <v>12</v>
      </c>
      <c r="I50" s="4">
        <v>12</v>
      </c>
      <c r="J50" s="4">
        <v>0</v>
      </c>
      <c r="K50" s="4">
        <v>0</v>
      </c>
      <c r="L50" s="4">
        <v>12</v>
      </c>
      <c r="M50" s="4" t="s">
        <v>18</v>
      </c>
      <c r="N50" s="5">
        <v>45983</v>
      </c>
      <c r="O50" s="4"/>
      <c r="P50" s="6" t="s">
        <v>20</v>
      </c>
      <c r="Q50" s="7">
        <f>VLOOKUP('60 sku - o qty &gt;0'!A50,'60 duplicate arriving'!A:H,8,FALSE)</f>
        <v>12</v>
      </c>
      <c r="R50" t="str">
        <f t="shared" si="0"/>
        <v>Match</v>
      </c>
    </row>
    <row r="51" spans="1:18" ht="20.25">
      <c r="A51" t="s">
        <v>119</v>
      </c>
      <c r="B51" s="9" t="s">
        <v>120</v>
      </c>
      <c r="C51" s="9">
        <v>0</v>
      </c>
      <c r="D51" s="9">
        <v>0</v>
      </c>
      <c r="E51" s="9">
        <v>18</v>
      </c>
      <c r="F51" s="9">
        <v>6</v>
      </c>
      <c r="G51" s="9">
        <v>12</v>
      </c>
      <c r="H51" s="9">
        <v>12</v>
      </c>
      <c r="I51" s="9">
        <v>12</v>
      </c>
      <c r="J51" s="9">
        <v>0</v>
      </c>
      <c r="K51" s="9">
        <v>0</v>
      </c>
      <c r="L51" s="9">
        <v>12</v>
      </c>
      <c r="M51" s="9" t="s">
        <v>18</v>
      </c>
      <c r="N51" s="10">
        <v>45983</v>
      </c>
      <c r="O51" s="9"/>
      <c r="P51" s="11" t="s">
        <v>20</v>
      </c>
      <c r="Q51" s="12">
        <f>VLOOKUP('60 sku - o qty &gt;0'!A51,'60 duplicate arriving'!A:H,8,FALSE)</f>
        <v>12</v>
      </c>
      <c r="R51" t="str">
        <f t="shared" si="0"/>
        <v>Match</v>
      </c>
    </row>
    <row r="52" spans="1:18" ht="20.25">
      <c r="A52" t="s">
        <v>121</v>
      </c>
      <c r="B52" s="4" t="s">
        <v>122</v>
      </c>
      <c r="C52" s="4">
        <v>0</v>
      </c>
      <c r="D52" s="4">
        <v>0</v>
      </c>
      <c r="E52" s="4">
        <v>22</v>
      </c>
      <c r="F52" s="4">
        <v>6</v>
      </c>
      <c r="G52" s="4">
        <v>16</v>
      </c>
      <c r="H52" s="4">
        <v>16</v>
      </c>
      <c r="I52" s="4">
        <v>16</v>
      </c>
      <c r="J52" s="4">
        <v>0</v>
      </c>
      <c r="K52" s="4">
        <v>0</v>
      </c>
      <c r="L52" s="4">
        <v>16</v>
      </c>
      <c r="M52" s="4" t="s">
        <v>18</v>
      </c>
      <c r="N52" s="5">
        <v>45983</v>
      </c>
      <c r="O52" s="4"/>
      <c r="P52" s="6" t="s">
        <v>20</v>
      </c>
      <c r="Q52" s="7">
        <f>VLOOKUP('60 sku - o qty &gt;0'!A52,'60 duplicate arriving'!A:H,8,FALSE)</f>
        <v>16</v>
      </c>
      <c r="R52" t="str">
        <f t="shared" si="0"/>
        <v>Match</v>
      </c>
    </row>
    <row r="53" spans="1:18" ht="20.25">
      <c r="A53" t="s">
        <v>123</v>
      </c>
      <c r="B53" s="9" t="s">
        <v>124</v>
      </c>
      <c r="C53" s="9">
        <v>0</v>
      </c>
      <c r="D53" s="9">
        <v>0</v>
      </c>
      <c r="E53" s="9">
        <v>22</v>
      </c>
      <c r="F53" s="9">
        <v>6</v>
      </c>
      <c r="G53" s="9">
        <v>16</v>
      </c>
      <c r="H53" s="9">
        <v>16</v>
      </c>
      <c r="I53" s="9">
        <v>16</v>
      </c>
      <c r="J53" s="9">
        <v>0</v>
      </c>
      <c r="K53" s="9">
        <v>0</v>
      </c>
      <c r="L53" s="9">
        <v>16</v>
      </c>
      <c r="M53" s="9" t="s">
        <v>18</v>
      </c>
      <c r="N53" s="10">
        <v>45983</v>
      </c>
      <c r="O53" s="9"/>
      <c r="P53" s="11" t="s">
        <v>20</v>
      </c>
      <c r="Q53" s="12">
        <f>VLOOKUP('60 sku - o qty &gt;0'!A53,'60 duplicate arriving'!A:H,8,FALSE)</f>
        <v>16</v>
      </c>
      <c r="R53" t="str">
        <f t="shared" si="0"/>
        <v>Match</v>
      </c>
    </row>
    <row r="54" spans="1:18" ht="20.25">
      <c r="A54" t="s">
        <v>125</v>
      </c>
      <c r="B54" s="4" t="s">
        <v>126</v>
      </c>
      <c r="C54" s="4">
        <v>0</v>
      </c>
      <c r="D54" s="4">
        <v>0</v>
      </c>
      <c r="E54" s="4">
        <v>22</v>
      </c>
      <c r="F54" s="4">
        <v>6</v>
      </c>
      <c r="G54" s="4">
        <v>16</v>
      </c>
      <c r="H54" s="4">
        <v>16</v>
      </c>
      <c r="I54" s="4">
        <v>16</v>
      </c>
      <c r="J54" s="4">
        <v>0</v>
      </c>
      <c r="K54" s="4">
        <v>0</v>
      </c>
      <c r="L54" s="4">
        <v>16</v>
      </c>
      <c r="M54" s="4" t="s">
        <v>18</v>
      </c>
      <c r="N54" s="5">
        <v>45983</v>
      </c>
      <c r="O54" s="4"/>
      <c r="P54" s="6" t="s">
        <v>20</v>
      </c>
      <c r="Q54" s="7">
        <f>VLOOKUP('60 sku - o qty &gt;0'!A54,'60 duplicate arriving'!A:H,8,FALSE)</f>
        <v>16</v>
      </c>
      <c r="R54" t="str">
        <f t="shared" si="0"/>
        <v>Match</v>
      </c>
    </row>
    <row r="55" spans="1:18" ht="20.25">
      <c r="A55" t="s">
        <v>127</v>
      </c>
      <c r="B55" s="9" t="s">
        <v>128</v>
      </c>
      <c r="C55" s="9">
        <v>0</v>
      </c>
      <c r="D55" s="9">
        <v>0</v>
      </c>
      <c r="E55" s="9">
        <v>90</v>
      </c>
      <c r="F55" s="9">
        <v>60</v>
      </c>
      <c r="G55" s="9">
        <v>30</v>
      </c>
      <c r="H55" s="9">
        <v>90</v>
      </c>
      <c r="I55" s="9">
        <v>90</v>
      </c>
      <c r="J55" s="9">
        <v>0</v>
      </c>
      <c r="K55" s="9">
        <v>0</v>
      </c>
      <c r="L55" s="9">
        <v>90</v>
      </c>
      <c r="M55" s="9" t="s">
        <v>18</v>
      </c>
      <c r="N55" s="10">
        <v>45983</v>
      </c>
      <c r="O55" s="9"/>
      <c r="P55" s="11" t="s">
        <v>20</v>
      </c>
      <c r="Q55" s="12">
        <f>VLOOKUP('60 sku - o qty &gt;0'!A55,'60 duplicate arriving'!A:H,8,FALSE)</f>
        <v>90</v>
      </c>
      <c r="R55" t="str">
        <f t="shared" si="0"/>
        <v>Match</v>
      </c>
    </row>
    <row r="56" spans="1:18" ht="20.25">
      <c r="A56" t="s">
        <v>129</v>
      </c>
      <c r="B56" s="4" t="s">
        <v>130</v>
      </c>
      <c r="C56" s="4">
        <v>0</v>
      </c>
      <c r="D56" s="4">
        <v>0</v>
      </c>
      <c r="E56" s="4">
        <v>30</v>
      </c>
      <c r="F56" s="4">
        <v>6</v>
      </c>
      <c r="G56" s="4">
        <v>24</v>
      </c>
      <c r="H56" s="4">
        <v>24</v>
      </c>
      <c r="I56" s="4">
        <v>24</v>
      </c>
      <c r="J56" s="4">
        <v>0</v>
      </c>
      <c r="K56" s="4">
        <v>0</v>
      </c>
      <c r="L56" s="4">
        <v>24</v>
      </c>
      <c r="M56" s="4" t="s">
        <v>18</v>
      </c>
      <c r="N56" s="5">
        <v>45983</v>
      </c>
      <c r="O56" s="4"/>
      <c r="P56" s="6" t="s">
        <v>20</v>
      </c>
      <c r="Q56" s="7">
        <f>VLOOKUP('60 sku - o qty &gt;0'!A56,'60 duplicate arriving'!A:H,8,FALSE)</f>
        <v>24</v>
      </c>
      <c r="R56" t="str">
        <f t="shared" si="0"/>
        <v>Match</v>
      </c>
    </row>
    <row r="57" spans="1:18" ht="20.25">
      <c r="A57" t="s">
        <v>131</v>
      </c>
      <c r="B57" s="9" t="s">
        <v>132</v>
      </c>
      <c r="C57" s="9">
        <v>0</v>
      </c>
      <c r="D57" s="9">
        <v>0</v>
      </c>
      <c r="E57" s="9">
        <v>26</v>
      </c>
      <c r="F57" s="9">
        <v>6</v>
      </c>
      <c r="G57" s="9">
        <v>20</v>
      </c>
      <c r="H57" s="9">
        <v>20</v>
      </c>
      <c r="I57" s="9">
        <v>20</v>
      </c>
      <c r="J57" s="9">
        <v>0</v>
      </c>
      <c r="K57" s="9">
        <v>0</v>
      </c>
      <c r="L57" s="9">
        <v>20</v>
      </c>
      <c r="M57" s="9" t="s">
        <v>18</v>
      </c>
      <c r="N57" s="10">
        <v>45983</v>
      </c>
      <c r="O57" s="9"/>
      <c r="P57" s="11" t="s">
        <v>20</v>
      </c>
      <c r="Q57" s="12">
        <f>VLOOKUP('60 sku - o qty &gt;0'!A57,'60 duplicate arriving'!A:H,8,FALSE)</f>
        <v>20</v>
      </c>
      <c r="R57" t="str">
        <f t="shared" si="0"/>
        <v>Match</v>
      </c>
    </row>
    <row r="58" spans="1:18" ht="20.25">
      <c r="A58" t="s">
        <v>133</v>
      </c>
      <c r="B58" s="4" t="s">
        <v>134</v>
      </c>
      <c r="C58" s="4">
        <v>0</v>
      </c>
      <c r="D58" s="4">
        <v>0</v>
      </c>
      <c r="E58" s="4">
        <v>13</v>
      </c>
      <c r="F58" s="4">
        <v>4</v>
      </c>
      <c r="G58" s="4">
        <v>9</v>
      </c>
      <c r="H58" s="4">
        <v>9</v>
      </c>
      <c r="I58" s="4">
        <v>9</v>
      </c>
      <c r="J58" s="4">
        <v>0</v>
      </c>
      <c r="K58" s="4">
        <v>0</v>
      </c>
      <c r="L58" s="4">
        <v>9</v>
      </c>
      <c r="M58" s="4" t="s">
        <v>18</v>
      </c>
      <c r="N58" s="5">
        <v>45983</v>
      </c>
      <c r="O58" s="4"/>
      <c r="P58" s="6" t="s">
        <v>20</v>
      </c>
      <c r="Q58" s="7">
        <f>VLOOKUP('60 sku - o qty &gt;0'!A58,'60 duplicate arriving'!A:H,8,FALSE)</f>
        <v>9</v>
      </c>
      <c r="R58" t="str">
        <f t="shared" si="0"/>
        <v>Match</v>
      </c>
    </row>
    <row r="59" spans="1:18" ht="20.25">
      <c r="A59" t="s">
        <v>135</v>
      </c>
      <c r="B59" s="9" t="s">
        <v>136</v>
      </c>
      <c r="C59" s="9">
        <v>0</v>
      </c>
      <c r="D59" s="9">
        <v>0</v>
      </c>
      <c r="E59" s="9">
        <v>13</v>
      </c>
      <c r="F59" s="9">
        <v>4</v>
      </c>
      <c r="G59" s="9">
        <v>9</v>
      </c>
      <c r="H59" s="9">
        <v>9</v>
      </c>
      <c r="I59" s="9">
        <v>9</v>
      </c>
      <c r="J59" s="9">
        <v>0</v>
      </c>
      <c r="K59" s="9">
        <v>0</v>
      </c>
      <c r="L59" s="9">
        <v>9</v>
      </c>
      <c r="M59" s="9" t="s">
        <v>18</v>
      </c>
      <c r="N59" s="10">
        <v>45983</v>
      </c>
      <c r="O59" s="9"/>
      <c r="P59" s="11" t="s">
        <v>20</v>
      </c>
      <c r="Q59" s="12">
        <f>VLOOKUP('60 sku - o qty &gt;0'!A59,'60 duplicate arriving'!A:H,8,FALSE)</f>
        <v>9</v>
      </c>
      <c r="R59" t="str">
        <f t="shared" si="0"/>
        <v>Match</v>
      </c>
    </row>
    <row r="60" spans="1:18" ht="20.25">
      <c r="A60" t="s">
        <v>137</v>
      </c>
      <c r="B60" s="4" t="s">
        <v>138</v>
      </c>
      <c r="C60" s="4">
        <v>0</v>
      </c>
      <c r="D60" s="4">
        <v>0</v>
      </c>
      <c r="E60" s="4">
        <v>30</v>
      </c>
      <c r="F60" s="4">
        <v>6</v>
      </c>
      <c r="G60" s="4">
        <v>24</v>
      </c>
      <c r="H60" s="4">
        <v>24</v>
      </c>
      <c r="I60" s="4">
        <v>24</v>
      </c>
      <c r="J60" s="4">
        <v>0</v>
      </c>
      <c r="K60" s="4">
        <v>0</v>
      </c>
      <c r="L60" s="4">
        <v>24</v>
      </c>
      <c r="M60" s="4" t="s">
        <v>18</v>
      </c>
      <c r="N60" s="5">
        <v>45983</v>
      </c>
      <c r="O60" s="4"/>
      <c r="P60" s="6" t="s">
        <v>20</v>
      </c>
      <c r="Q60" s="7">
        <f>VLOOKUP('60 sku - o qty &gt;0'!A60,'60 duplicate arriving'!A:H,8,FALSE)</f>
        <v>24</v>
      </c>
      <c r="R60" t="str">
        <f t="shared" si="0"/>
        <v>Match</v>
      </c>
    </row>
    <row r="61" spans="1:18">
      <c r="A61" t="s">
        <v>139</v>
      </c>
      <c r="B61" s="9" t="s">
        <v>140</v>
      </c>
      <c r="C61" s="9">
        <v>0</v>
      </c>
      <c r="D61" s="9">
        <v>0</v>
      </c>
      <c r="E61" s="9">
        <v>30</v>
      </c>
      <c r="F61" s="9">
        <v>6</v>
      </c>
      <c r="G61" s="9">
        <v>24</v>
      </c>
      <c r="H61" s="9">
        <v>24</v>
      </c>
      <c r="I61" s="9">
        <v>24</v>
      </c>
      <c r="J61" s="9">
        <v>0</v>
      </c>
      <c r="K61" s="9">
        <v>0</v>
      </c>
      <c r="L61" s="1"/>
      <c r="M61" s="1"/>
      <c r="N61" s="1"/>
      <c r="O61" s="1"/>
      <c r="P61" s="1"/>
      <c r="Q61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88C1-1E07-4CE2-AACB-87DDB8E32A0E}">
  <dimension ref="A1:L181"/>
  <sheetViews>
    <sheetView workbookViewId="0">
      <selection activeCell="G8" sqref="G8"/>
    </sheetView>
  </sheetViews>
  <sheetFormatPr defaultRowHeight="15.75"/>
  <cols>
    <col min="1" max="1" width="24.5" bestFit="1" customWidth="1"/>
    <col min="2" max="2" width="43.25" bestFit="1" customWidth="1"/>
    <col min="3" max="3" width="23.5" bestFit="1" customWidth="1"/>
    <col min="4" max="4" width="27.625" bestFit="1" customWidth="1"/>
    <col min="5" max="5" width="15.25" customWidth="1"/>
    <col min="6" max="6" width="16.375" bestFit="1" customWidth="1"/>
    <col min="7" max="7" width="12.25" bestFit="1" customWidth="1"/>
    <col min="8" max="8" width="16.375" bestFit="1" customWidth="1"/>
    <col min="9" max="9" width="12.25" bestFit="1" customWidth="1"/>
    <col min="10" max="10" width="16.375" bestFit="1" customWidth="1"/>
    <col min="11" max="11" width="12.25" bestFit="1" customWidth="1"/>
    <col min="12" max="12" width="20.75" bestFit="1" customWidth="1"/>
  </cols>
  <sheetData>
    <row r="1" spans="1:12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</row>
    <row r="2" spans="1:12">
      <c r="A2" s="9" t="s">
        <v>51</v>
      </c>
      <c r="B2" s="9" t="s">
        <v>52</v>
      </c>
      <c r="C2" s="15" t="s">
        <v>157</v>
      </c>
      <c r="D2" s="9" t="s">
        <v>158</v>
      </c>
      <c r="E2" s="8" t="s">
        <v>143</v>
      </c>
      <c r="F2" s="9">
        <v>24</v>
      </c>
      <c r="G2" s="9">
        <v>24</v>
      </c>
      <c r="H2" s="9">
        <v>-24</v>
      </c>
      <c r="I2" s="9">
        <v>24</v>
      </c>
      <c r="J2" s="9">
        <v>0</v>
      </c>
      <c r="K2" s="9">
        <v>0</v>
      </c>
      <c r="L2" s="9" t="s">
        <v>160</v>
      </c>
    </row>
    <row r="3" spans="1:12">
      <c r="A3" s="4" t="s">
        <v>51</v>
      </c>
      <c r="B3" s="4" t="s">
        <v>52</v>
      </c>
      <c r="C3" s="14" t="s">
        <v>157</v>
      </c>
      <c r="D3" s="4" t="s">
        <v>158</v>
      </c>
      <c r="E3" s="3" t="s">
        <v>143</v>
      </c>
      <c r="F3" s="4">
        <v>0</v>
      </c>
      <c r="G3" s="4">
        <v>0</v>
      </c>
      <c r="H3" s="4">
        <v>24</v>
      </c>
      <c r="I3" s="4">
        <v>48</v>
      </c>
      <c r="J3" s="4">
        <v>0</v>
      </c>
      <c r="K3" s="4">
        <v>0</v>
      </c>
      <c r="L3" s="4" t="s">
        <v>183</v>
      </c>
    </row>
    <row r="4" spans="1:12">
      <c r="A4" s="4" t="s">
        <v>51</v>
      </c>
      <c r="B4" s="4" t="s">
        <v>52</v>
      </c>
      <c r="C4" s="14" t="s">
        <v>157</v>
      </c>
      <c r="D4" s="4" t="s">
        <v>158</v>
      </c>
      <c r="E4" s="3" t="s">
        <v>143</v>
      </c>
      <c r="F4" s="4">
        <v>0</v>
      </c>
      <c r="G4" s="4">
        <v>0</v>
      </c>
      <c r="H4" s="4">
        <v>24</v>
      </c>
      <c r="I4" s="4">
        <v>24</v>
      </c>
      <c r="J4" s="4">
        <v>0</v>
      </c>
      <c r="K4" s="4">
        <v>0</v>
      </c>
      <c r="L4" s="4" t="s">
        <v>228</v>
      </c>
    </row>
    <row r="5" spans="1:12">
      <c r="A5" s="9" t="s">
        <v>53</v>
      </c>
      <c r="B5" s="9" t="s">
        <v>54</v>
      </c>
      <c r="C5" s="15" t="s">
        <v>157</v>
      </c>
      <c r="D5" s="9" t="s">
        <v>158</v>
      </c>
      <c r="E5" s="8" t="s">
        <v>143</v>
      </c>
      <c r="F5" s="9">
        <v>8</v>
      </c>
      <c r="G5" s="9">
        <v>8</v>
      </c>
      <c r="H5" s="9">
        <v>-8</v>
      </c>
      <c r="I5" s="9">
        <v>8</v>
      </c>
      <c r="J5" s="9">
        <v>0</v>
      </c>
      <c r="K5" s="9">
        <v>0</v>
      </c>
      <c r="L5" s="9" t="s">
        <v>160</v>
      </c>
    </row>
    <row r="6" spans="1:12">
      <c r="A6" s="9" t="s">
        <v>53</v>
      </c>
      <c r="B6" s="9" t="s">
        <v>54</v>
      </c>
      <c r="C6" s="15" t="s">
        <v>157</v>
      </c>
      <c r="D6" s="9" t="s">
        <v>158</v>
      </c>
      <c r="E6" s="8" t="s">
        <v>143</v>
      </c>
      <c r="F6" s="9">
        <v>0</v>
      </c>
      <c r="G6" s="9">
        <v>0</v>
      </c>
      <c r="H6" s="9">
        <v>8</v>
      </c>
      <c r="I6" s="9">
        <v>16</v>
      </c>
      <c r="J6" s="9">
        <v>0</v>
      </c>
      <c r="K6" s="9">
        <v>0</v>
      </c>
      <c r="L6" s="9" t="s">
        <v>183</v>
      </c>
    </row>
    <row r="7" spans="1:12">
      <c r="A7" s="9" t="s">
        <v>53</v>
      </c>
      <c r="B7" s="9" t="s">
        <v>54</v>
      </c>
      <c r="C7" s="15" t="s">
        <v>157</v>
      </c>
      <c r="D7" s="9" t="s">
        <v>158</v>
      </c>
      <c r="E7" s="8" t="s">
        <v>143</v>
      </c>
      <c r="F7" s="9">
        <v>0</v>
      </c>
      <c r="G7" s="9">
        <v>0</v>
      </c>
      <c r="H7" s="9">
        <v>8</v>
      </c>
      <c r="I7" s="9">
        <v>8</v>
      </c>
      <c r="J7" s="9">
        <v>0</v>
      </c>
      <c r="K7" s="9">
        <v>0</v>
      </c>
      <c r="L7" s="9" t="s">
        <v>227</v>
      </c>
    </row>
    <row r="8" spans="1:12">
      <c r="A8" s="4" t="s">
        <v>55</v>
      </c>
      <c r="B8" s="4" t="s">
        <v>56</v>
      </c>
      <c r="C8" s="14" t="s">
        <v>157</v>
      </c>
      <c r="D8" s="4" t="s">
        <v>158</v>
      </c>
      <c r="E8" s="3" t="s">
        <v>143</v>
      </c>
      <c r="F8" s="4">
        <v>36</v>
      </c>
      <c r="G8" s="4">
        <v>36</v>
      </c>
      <c r="H8" s="4">
        <v>-36</v>
      </c>
      <c r="I8" s="4">
        <v>36</v>
      </c>
      <c r="J8" s="4">
        <v>0</v>
      </c>
      <c r="K8" s="4">
        <v>0</v>
      </c>
      <c r="L8" s="4" t="s">
        <v>161</v>
      </c>
    </row>
    <row r="9" spans="1:12">
      <c r="A9" s="4" t="s">
        <v>55</v>
      </c>
      <c r="B9" s="4" t="s">
        <v>56</v>
      </c>
      <c r="C9" s="14" t="s">
        <v>157</v>
      </c>
      <c r="D9" s="4" t="s">
        <v>158</v>
      </c>
      <c r="E9" s="3" t="s">
        <v>143</v>
      </c>
      <c r="F9" s="4">
        <v>0</v>
      </c>
      <c r="G9" s="4">
        <v>0</v>
      </c>
      <c r="H9" s="4">
        <v>36</v>
      </c>
      <c r="I9" s="4">
        <v>72</v>
      </c>
      <c r="J9" s="4">
        <v>0</v>
      </c>
      <c r="K9" s="4">
        <v>0</v>
      </c>
      <c r="L9" s="4" t="s">
        <v>183</v>
      </c>
    </row>
    <row r="10" spans="1:12">
      <c r="A10" s="4" t="s">
        <v>55</v>
      </c>
      <c r="B10" s="4" t="s">
        <v>56</v>
      </c>
      <c r="C10" s="14" t="s">
        <v>157</v>
      </c>
      <c r="D10" s="4" t="s">
        <v>158</v>
      </c>
      <c r="E10" s="3" t="s">
        <v>143</v>
      </c>
      <c r="F10" s="4">
        <v>0</v>
      </c>
      <c r="G10" s="4">
        <v>0</v>
      </c>
      <c r="H10" s="4">
        <v>36</v>
      </c>
      <c r="I10" s="4">
        <v>36</v>
      </c>
      <c r="J10" s="4">
        <v>0</v>
      </c>
      <c r="K10" s="4">
        <v>0</v>
      </c>
      <c r="L10" s="4" t="s">
        <v>226</v>
      </c>
    </row>
    <row r="11" spans="1:12">
      <c r="A11" s="9" t="s">
        <v>35</v>
      </c>
      <c r="B11" s="9" t="s">
        <v>36</v>
      </c>
      <c r="C11" s="15" t="s">
        <v>157</v>
      </c>
      <c r="D11" s="9" t="s">
        <v>158</v>
      </c>
      <c r="E11" s="8" t="s">
        <v>143</v>
      </c>
      <c r="F11" s="9">
        <v>72</v>
      </c>
      <c r="G11" s="9">
        <v>72</v>
      </c>
      <c r="H11" s="9">
        <v>-72</v>
      </c>
      <c r="I11" s="9">
        <v>72</v>
      </c>
      <c r="J11" s="9">
        <v>0</v>
      </c>
      <c r="K11" s="9">
        <v>0</v>
      </c>
      <c r="L11" s="9" t="s">
        <v>161</v>
      </c>
    </row>
    <row r="12" spans="1:12">
      <c r="A12" s="4" t="s">
        <v>35</v>
      </c>
      <c r="B12" s="4" t="s">
        <v>36</v>
      </c>
      <c r="C12" s="14" t="s">
        <v>157</v>
      </c>
      <c r="D12" s="4" t="s">
        <v>158</v>
      </c>
      <c r="E12" s="3" t="s">
        <v>143</v>
      </c>
      <c r="F12" s="4">
        <v>0</v>
      </c>
      <c r="G12" s="4">
        <v>0</v>
      </c>
      <c r="H12" s="4">
        <v>72</v>
      </c>
      <c r="I12" s="4">
        <v>144</v>
      </c>
      <c r="J12" s="4">
        <v>0</v>
      </c>
      <c r="K12" s="4">
        <v>0</v>
      </c>
      <c r="L12" s="4" t="s">
        <v>187</v>
      </c>
    </row>
    <row r="13" spans="1:12">
      <c r="A13" s="4" t="s">
        <v>35</v>
      </c>
      <c r="B13" s="4" t="s">
        <v>36</v>
      </c>
      <c r="C13" s="14" t="s">
        <v>157</v>
      </c>
      <c r="D13" s="4" t="s">
        <v>158</v>
      </c>
      <c r="E13" s="3" t="s">
        <v>143</v>
      </c>
      <c r="F13" s="4">
        <v>0</v>
      </c>
      <c r="G13" s="4">
        <v>0</v>
      </c>
      <c r="H13" s="4">
        <v>72</v>
      </c>
      <c r="I13" s="4">
        <v>72</v>
      </c>
      <c r="J13" s="4">
        <v>0</v>
      </c>
      <c r="K13" s="4">
        <v>0</v>
      </c>
      <c r="L13" s="4" t="s">
        <v>235</v>
      </c>
    </row>
    <row r="14" spans="1:12">
      <c r="A14" s="4" t="s">
        <v>57</v>
      </c>
      <c r="B14" s="4" t="s">
        <v>58</v>
      </c>
      <c r="C14" s="14" t="s">
        <v>157</v>
      </c>
      <c r="D14" s="4" t="s">
        <v>158</v>
      </c>
      <c r="E14" s="3" t="s">
        <v>143</v>
      </c>
      <c r="F14" s="4">
        <v>8</v>
      </c>
      <c r="G14" s="4">
        <v>8</v>
      </c>
      <c r="H14" s="4">
        <v>-8</v>
      </c>
      <c r="I14" s="4">
        <v>8</v>
      </c>
      <c r="J14" s="4">
        <v>0</v>
      </c>
      <c r="K14" s="4">
        <v>0</v>
      </c>
      <c r="L14" s="4" t="s">
        <v>160</v>
      </c>
    </row>
    <row r="15" spans="1:12">
      <c r="A15" s="9" t="s">
        <v>57</v>
      </c>
      <c r="B15" s="9" t="s">
        <v>58</v>
      </c>
      <c r="C15" s="15" t="s">
        <v>157</v>
      </c>
      <c r="D15" s="9" t="s">
        <v>158</v>
      </c>
      <c r="E15" s="8" t="s">
        <v>143</v>
      </c>
      <c r="F15" s="9">
        <v>0</v>
      </c>
      <c r="G15" s="9">
        <v>0</v>
      </c>
      <c r="H15" s="9">
        <v>8</v>
      </c>
      <c r="I15" s="9">
        <v>16</v>
      </c>
      <c r="J15" s="9">
        <v>0</v>
      </c>
      <c r="K15" s="9">
        <v>0</v>
      </c>
      <c r="L15" s="9" t="s">
        <v>182</v>
      </c>
    </row>
    <row r="16" spans="1:12">
      <c r="A16" s="9" t="s">
        <v>57</v>
      </c>
      <c r="B16" s="9" t="s">
        <v>58</v>
      </c>
      <c r="C16" s="15" t="s">
        <v>157</v>
      </c>
      <c r="D16" s="9" t="s">
        <v>158</v>
      </c>
      <c r="E16" s="8" t="s">
        <v>143</v>
      </c>
      <c r="F16" s="9">
        <v>0</v>
      </c>
      <c r="G16" s="9">
        <v>0</v>
      </c>
      <c r="H16" s="9">
        <v>8</v>
      </c>
      <c r="I16" s="9">
        <v>8</v>
      </c>
      <c r="J16" s="9">
        <v>0</v>
      </c>
      <c r="K16" s="9">
        <v>0</v>
      </c>
      <c r="L16" s="9" t="s">
        <v>225</v>
      </c>
    </row>
    <row r="17" spans="1:12">
      <c r="A17" s="4" t="s">
        <v>33</v>
      </c>
      <c r="B17" s="4" t="s">
        <v>34</v>
      </c>
      <c r="C17" s="14" t="s">
        <v>157</v>
      </c>
      <c r="D17" s="4" t="s">
        <v>158</v>
      </c>
      <c r="E17" s="3" t="s">
        <v>143</v>
      </c>
      <c r="F17" s="4">
        <v>48</v>
      </c>
      <c r="G17" s="4">
        <v>48</v>
      </c>
      <c r="H17" s="4">
        <v>-48</v>
      </c>
      <c r="I17" s="4">
        <v>48</v>
      </c>
      <c r="J17" s="4">
        <v>0</v>
      </c>
      <c r="K17" s="4">
        <v>0</v>
      </c>
      <c r="L17" s="4" t="s">
        <v>161</v>
      </c>
    </row>
    <row r="18" spans="1:12">
      <c r="A18" s="9" t="s">
        <v>33</v>
      </c>
      <c r="B18" s="9" t="s">
        <v>34</v>
      </c>
      <c r="C18" s="15" t="s">
        <v>157</v>
      </c>
      <c r="D18" s="9" t="s">
        <v>158</v>
      </c>
      <c r="E18" s="8" t="s">
        <v>143</v>
      </c>
      <c r="F18" s="9">
        <v>0</v>
      </c>
      <c r="G18" s="9">
        <v>0</v>
      </c>
      <c r="H18" s="9">
        <v>48</v>
      </c>
      <c r="I18" s="9">
        <v>96</v>
      </c>
      <c r="J18" s="9">
        <v>0</v>
      </c>
      <c r="K18" s="9">
        <v>0</v>
      </c>
      <c r="L18" s="9" t="s">
        <v>187</v>
      </c>
    </row>
    <row r="19" spans="1:12">
      <c r="A19" s="9" t="s">
        <v>33</v>
      </c>
      <c r="B19" s="9" t="s">
        <v>34</v>
      </c>
      <c r="C19" s="15" t="s">
        <v>157</v>
      </c>
      <c r="D19" s="9" t="s">
        <v>158</v>
      </c>
      <c r="E19" s="8" t="s">
        <v>143</v>
      </c>
      <c r="F19" s="9">
        <v>0</v>
      </c>
      <c r="G19" s="9">
        <v>0</v>
      </c>
      <c r="H19" s="9">
        <v>48</v>
      </c>
      <c r="I19" s="9">
        <v>48</v>
      </c>
      <c r="J19" s="9">
        <v>0</v>
      </c>
      <c r="K19" s="9">
        <v>0</v>
      </c>
      <c r="L19" s="9" t="s">
        <v>236</v>
      </c>
    </row>
    <row r="20" spans="1:12">
      <c r="A20" s="9" t="s">
        <v>30</v>
      </c>
      <c r="B20" s="9" t="s">
        <v>31</v>
      </c>
      <c r="C20" s="15" t="s">
        <v>157</v>
      </c>
      <c r="D20" s="9" t="s">
        <v>158</v>
      </c>
      <c r="E20" s="8" t="s">
        <v>143</v>
      </c>
      <c r="F20" s="9">
        <v>48</v>
      </c>
      <c r="G20" s="9">
        <v>48</v>
      </c>
      <c r="H20" s="9">
        <v>-48</v>
      </c>
      <c r="I20" s="9">
        <v>48</v>
      </c>
      <c r="J20" s="9">
        <v>0</v>
      </c>
      <c r="K20" s="9">
        <v>0</v>
      </c>
      <c r="L20" s="9" t="s">
        <v>161</v>
      </c>
    </row>
    <row r="21" spans="1:12">
      <c r="A21" s="4" t="s">
        <v>30</v>
      </c>
      <c r="B21" s="4" t="s">
        <v>31</v>
      </c>
      <c r="C21" s="14" t="s">
        <v>157</v>
      </c>
      <c r="D21" s="4" t="s">
        <v>158</v>
      </c>
      <c r="E21" s="3" t="s">
        <v>143</v>
      </c>
      <c r="F21" s="4">
        <v>0</v>
      </c>
      <c r="G21" s="4">
        <v>0</v>
      </c>
      <c r="H21" s="4">
        <v>48</v>
      </c>
      <c r="I21" s="4">
        <v>96</v>
      </c>
      <c r="J21" s="4">
        <v>0</v>
      </c>
      <c r="K21" s="4">
        <v>0</v>
      </c>
      <c r="L21" s="4" t="s">
        <v>187</v>
      </c>
    </row>
    <row r="22" spans="1:12">
      <c r="A22" s="4" t="s">
        <v>30</v>
      </c>
      <c r="B22" s="4" t="s">
        <v>31</v>
      </c>
      <c r="C22" s="14" t="s">
        <v>157</v>
      </c>
      <c r="D22" s="4" t="s">
        <v>158</v>
      </c>
      <c r="E22" s="3" t="s">
        <v>143</v>
      </c>
      <c r="F22" s="4">
        <v>0</v>
      </c>
      <c r="G22" s="4">
        <v>0</v>
      </c>
      <c r="H22" s="4">
        <v>48</v>
      </c>
      <c r="I22" s="4">
        <v>48</v>
      </c>
      <c r="J22" s="4">
        <v>0</v>
      </c>
      <c r="K22" s="4">
        <v>0</v>
      </c>
      <c r="L22" s="4" t="s">
        <v>237</v>
      </c>
    </row>
    <row r="23" spans="1:12">
      <c r="A23" s="4" t="s">
        <v>23</v>
      </c>
      <c r="B23" s="4" t="s">
        <v>24</v>
      </c>
      <c r="C23" s="14" t="s">
        <v>157</v>
      </c>
      <c r="D23" s="4" t="s">
        <v>158</v>
      </c>
      <c r="E23" s="3" t="s">
        <v>143</v>
      </c>
      <c r="F23" s="4">
        <v>12</v>
      </c>
      <c r="G23" s="4">
        <v>12</v>
      </c>
      <c r="H23" s="4">
        <v>-12</v>
      </c>
      <c r="I23" s="4">
        <v>12</v>
      </c>
      <c r="J23" s="4">
        <v>0</v>
      </c>
      <c r="K23" s="4">
        <v>0</v>
      </c>
      <c r="L23" s="4" t="s">
        <v>159</v>
      </c>
    </row>
    <row r="24" spans="1:12">
      <c r="A24" s="9" t="s">
        <v>23</v>
      </c>
      <c r="B24" s="9" t="s">
        <v>24</v>
      </c>
      <c r="C24" s="15" t="s">
        <v>157</v>
      </c>
      <c r="D24" s="9" t="s">
        <v>158</v>
      </c>
      <c r="E24" s="8" t="s">
        <v>143</v>
      </c>
      <c r="F24" s="9">
        <v>0</v>
      </c>
      <c r="G24" s="9">
        <v>0</v>
      </c>
      <c r="H24" s="9">
        <v>12</v>
      </c>
      <c r="I24" s="9">
        <v>24</v>
      </c>
      <c r="J24" s="9">
        <v>0</v>
      </c>
      <c r="K24" s="9">
        <v>0</v>
      </c>
      <c r="L24" s="9" t="s">
        <v>188</v>
      </c>
    </row>
    <row r="25" spans="1:12">
      <c r="A25" s="9" t="s">
        <v>23</v>
      </c>
      <c r="B25" s="9" t="s">
        <v>24</v>
      </c>
      <c r="C25" s="15" t="s">
        <v>157</v>
      </c>
      <c r="D25" s="9" t="s">
        <v>158</v>
      </c>
      <c r="E25" s="8" t="s">
        <v>143</v>
      </c>
      <c r="F25" s="9">
        <v>0</v>
      </c>
      <c r="G25" s="9">
        <v>0</v>
      </c>
      <c r="H25" s="9">
        <v>12</v>
      </c>
      <c r="I25" s="9">
        <v>12</v>
      </c>
      <c r="J25" s="9">
        <v>0</v>
      </c>
      <c r="K25" s="9">
        <v>0</v>
      </c>
      <c r="L25" s="9" t="s">
        <v>240</v>
      </c>
    </row>
    <row r="26" spans="1:12">
      <c r="A26" s="4" t="s">
        <v>26</v>
      </c>
      <c r="B26" s="4" t="s">
        <v>27</v>
      </c>
      <c r="C26" s="14" t="s">
        <v>157</v>
      </c>
      <c r="D26" s="4" t="s">
        <v>158</v>
      </c>
      <c r="E26" s="3" t="s">
        <v>143</v>
      </c>
      <c r="F26" s="4">
        <v>24</v>
      </c>
      <c r="G26" s="4">
        <v>24</v>
      </c>
      <c r="H26" s="4">
        <v>-24</v>
      </c>
      <c r="I26" s="4">
        <v>24</v>
      </c>
      <c r="J26" s="4">
        <v>0</v>
      </c>
      <c r="K26" s="4">
        <v>0</v>
      </c>
      <c r="L26" s="4" t="s">
        <v>159</v>
      </c>
    </row>
    <row r="27" spans="1:12">
      <c r="A27" s="4" t="s">
        <v>26</v>
      </c>
      <c r="B27" s="4" t="s">
        <v>27</v>
      </c>
      <c r="C27" s="14" t="s">
        <v>157</v>
      </c>
      <c r="D27" s="4" t="s">
        <v>158</v>
      </c>
      <c r="E27" s="3" t="s">
        <v>143</v>
      </c>
      <c r="F27" s="4">
        <v>0</v>
      </c>
      <c r="G27" s="4">
        <v>0</v>
      </c>
      <c r="H27" s="4">
        <v>24</v>
      </c>
      <c r="I27" s="4">
        <v>48</v>
      </c>
      <c r="J27" s="4">
        <v>0</v>
      </c>
      <c r="K27" s="4">
        <v>0</v>
      </c>
      <c r="L27" s="4" t="s">
        <v>188</v>
      </c>
    </row>
    <row r="28" spans="1:12">
      <c r="A28" s="4" t="s">
        <v>26</v>
      </c>
      <c r="B28" s="4" t="s">
        <v>27</v>
      </c>
      <c r="C28" s="14" t="s">
        <v>157</v>
      </c>
      <c r="D28" s="4" t="s">
        <v>158</v>
      </c>
      <c r="E28" s="3" t="s">
        <v>143</v>
      </c>
      <c r="F28" s="4">
        <v>0</v>
      </c>
      <c r="G28" s="4">
        <v>0</v>
      </c>
      <c r="H28" s="4">
        <v>24</v>
      </c>
      <c r="I28" s="4">
        <v>24</v>
      </c>
      <c r="J28" s="4">
        <v>0</v>
      </c>
      <c r="K28" s="4">
        <v>0</v>
      </c>
      <c r="L28" s="4" t="s">
        <v>239</v>
      </c>
    </row>
    <row r="29" spans="1:12">
      <c r="A29" s="4" t="s">
        <v>59</v>
      </c>
      <c r="B29" s="4" t="s">
        <v>60</v>
      </c>
      <c r="C29" s="14" t="s">
        <v>157</v>
      </c>
      <c r="D29" s="4" t="s">
        <v>158</v>
      </c>
      <c r="E29" s="3" t="s">
        <v>143</v>
      </c>
      <c r="F29" s="4">
        <v>12</v>
      </c>
      <c r="G29" s="4">
        <v>12</v>
      </c>
      <c r="H29" s="4">
        <v>-12</v>
      </c>
      <c r="I29" s="4">
        <v>12</v>
      </c>
      <c r="J29" s="4">
        <v>0</v>
      </c>
      <c r="K29" s="4">
        <v>0</v>
      </c>
      <c r="L29" s="4" t="s">
        <v>159</v>
      </c>
    </row>
    <row r="30" spans="1:12">
      <c r="A30" s="4" t="s">
        <v>59</v>
      </c>
      <c r="B30" s="4" t="s">
        <v>60</v>
      </c>
      <c r="C30" s="14" t="s">
        <v>157</v>
      </c>
      <c r="D30" s="4" t="s">
        <v>158</v>
      </c>
      <c r="E30" s="3" t="s">
        <v>143</v>
      </c>
      <c r="F30" s="4">
        <v>0</v>
      </c>
      <c r="G30" s="4">
        <v>0</v>
      </c>
      <c r="H30" s="4">
        <v>12</v>
      </c>
      <c r="I30" s="4">
        <v>24</v>
      </c>
      <c r="J30" s="4">
        <v>0</v>
      </c>
      <c r="K30" s="4">
        <v>0</v>
      </c>
      <c r="L30" s="4" t="s">
        <v>181</v>
      </c>
    </row>
    <row r="31" spans="1:12">
      <c r="A31" s="4" t="s">
        <v>59</v>
      </c>
      <c r="B31" s="4" t="s">
        <v>60</v>
      </c>
      <c r="C31" s="14" t="s">
        <v>157</v>
      </c>
      <c r="D31" s="4" t="s">
        <v>158</v>
      </c>
      <c r="E31" s="3" t="s">
        <v>143</v>
      </c>
      <c r="F31" s="4">
        <v>0</v>
      </c>
      <c r="G31" s="4">
        <v>0</v>
      </c>
      <c r="H31" s="4">
        <v>12</v>
      </c>
      <c r="I31" s="4">
        <v>12</v>
      </c>
      <c r="J31" s="4">
        <v>0</v>
      </c>
      <c r="K31" s="4">
        <v>0</v>
      </c>
      <c r="L31" s="4" t="s">
        <v>224</v>
      </c>
    </row>
    <row r="32" spans="1:12" ht="30">
      <c r="A32" s="9" t="s">
        <v>61</v>
      </c>
      <c r="B32" s="9" t="s">
        <v>62</v>
      </c>
      <c r="C32" s="15" t="s">
        <v>157</v>
      </c>
      <c r="D32" s="9" t="s">
        <v>158</v>
      </c>
      <c r="E32" s="8" t="s">
        <v>143</v>
      </c>
      <c r="F32" s="9">
        <v>9</v>
      </c>
      <c r="G32" s="9">
        <v>9</v>
      </c>
      <c r="H32" s="9">
        <v>-9</v>
      </c>
      <c r="I32" s="9">
        <v>9</v>
      </c>
      <c r="J32" s="9">
        <v>0</v>
      </c>
      <c r="K32" s="9">
        <v>0</v>
      </c>
      <c r="L32" s="9" t="s">
        <v>160</v>
      </c>
    </row>
    <row r="33" spans="1:12" ht="30">
      <c r="A33" s="9" t="s">
        <v>61</v>
      </c>
      <c r="B33" s="9" t="s">
        <v>62</v>
      </c>
      <c r="C33" s="15" t="s">
        <v>157</v>
      </c>
      <c r="D33" s="9" t="s">
        <v>158</v>
      </c>
      <c r="E33" s="8" t="s">
        <v>143</v>
      </c>
      <c r="F33" s="9">
        <v>0</v>
      </c>
      <c r="G33" s="9">
        <v>0</v>
      </c>
      <c r="H33" s="9">
        <v>9</v>
      </c>
      <c r="I33" s="9">
        <v>18</v>
      </c>
      <c r="J33" s="9">
        <v>0</v>
      </c>
      <c r="K33" s="9">
        <v>0</v>
      </c>
      <c r="L33" s="9" t="s">
        <v>180</v>
      </c>
    </row>
    <row r="34" spans="1:12" ht="30">
      <c r="A34" s="9" t="s">
        <v>61</v>
      </c>
      <c r="B34" s="9" t="s">
        <v>62</v>
      </c>
      <c r="C34" s="15" t="s">
        <v>157</v>
      </c>
      <c r="D34" s="9" t="s">
        <v>158</v>
      </c>
      <c r="E34" s="8" t="s">
        <v>143</v>
      </c>
      <c r="F34" s="9">
        <v>0</v>
      </c>
      <c r="G34" s="9">
        <v>0</v>
      </c>
      <c r="H34" s="9">
        <v>9</v>
      </c>
      <c r="I34" s="9">
        <v>9</v>
      </c>
      <c r="J34" s="9">
        <v>0</v>
      </c>
      <c r="K34" s="9">
        <v>0</v>
      </c>
      <c r="L34" s="9" t="s">
        <v>224</v>
      </c>
    </row>
    <row r="35" spans="1:12" ht="30">
      <c r="A35" s="4" t="s">
        <v>63</v>
      </c>
      <c r="B35" s="4" t="s">
        <v>64</v>
      </c>
      <c r="C35" s="14" t="s">
        <v>157</v>
      </c>
      <c r="D35" s="4" t="s">
        <v>158</v>
      </c>
      <c r="E35" s="3" t="s">
        <v>143</v>
      </c>
      <c r="F35" s="4">
        <v>10</v>
      </c>
      <c r="G35" s="4">
        <v>10</v>
      </c>
      <c r="H35" s="4">
        <v>-10</v>
      </c>
      <c r="I35" s="4">
        <v>10</v>
      </c>
      <c r="J35" s="4">
        <v>0</v>
      </c>
      <c r="K35" s="4">
        <v>0</v>
      </c>
      <c r="L35" s="4" t="s">
        <v>160</v>
      </c>
    </row>
    <row r="36" spans="1:12" ht="30">
      <c r="A36" s="4" t="s">
        <v>63</v>
      </c>
      <c r="B36" s="4" t="s">
        <v>64</v>
      </c>
      <c r="C36" s="14" t="s">
        <v>157</v>
      </c>
      <c r="D36" s="4" t="s">
        <v>158</v>
      </c>
      <c r="E36" s="3" t="s">
        <v>143</v>
      </c>
      <c r="F36" s="4">
        <v>0</v>
      </c>
      <c r="G36" s="4">
        <v>0</v>
      </c>
      <c r="H36" s="4">
        <v>10</v>
      </c>
      <c r="I36" s="4">
        <v>20</v>
      </c>
      <c r="J36" s="4">
        <v>0</v>
      </c>
      <c r="K36" s="4">
        <v>0</v>
      </c>
      <c r="L36" s="4" t="s">
        <v>180</v>
      </c>
    </row>
    <row r="37" spans="1:12" ht="30">
      <c r="A37" s="4" t="s">
        <v>63</v>
      </c>
      <c r="B37" s="4" t="s">
        <v>64</v>
      </c>
      <c r="C37" s="14" t="s">
        <v>157</v>
      </c>
      <c r="D37" s="4" t="s">
        <v>158</v>
      </c>
      <c r="E37" s="3" t="s">
        <v>143</v>
      </c>
      <c r="F37" s="4">
        <v>0</v>
      </c>
      <c r="G37" s="4">
        <v>0</v>
      </c>
      <c r="H37" s="4">
        <v>10</v>
      </c>
      <c r="I37" s="4">
        <v>10</v>
      </c>
      <c r="J37" s="4">
        <v>0</v>
      </c>
      <c r="K37" s="4">
        <v>0</v>
      </c>
      <c r="L37" s="4" t="s">
        <v>223</v>
      </c>
    </row>
    <row r="38" spans="1:12">
      <c r="A38" s="4" t="s">
        <v>65</v>
      </c>
      <c r="B38" s="4" t="s">
        <v>66</v>
      </c>
      <c r="C38" s="14" t="s">
        <v>157</v>
      </c>
      <c r="D38" s="4" t="s">
        <v>158</v>
      </c>
      <c r="E38" s="3" t="s">
        <v>143</v>
      </c>
      <c r="F38" s="4">
        <v>40</v>
      </c>
      <c r="G38" s="4">
        <v>40</v>
      </c>
      <c r="H38" s="4">
        <v>-40</v>
      </c>
      <c r="I38" s="4">
        <v>40</v>
      </c>
      <c r="J38" s="4">
        <v>0</v>
      </c>
      <c r="K38" s="4">
        <v>0</v>
      </c>
      <c r="L38" s="4" t="s">
        <v>160</v>
      </c>
    </row>
    <row r="39" spans="1:12">
      <c r="A39" s="9" t="s">
        <v>65</v>
      </c>
      <c r="B39" s="9" t="s">
        <v>66</v>
      </c>
      <c r="C39" s="15" t="s">
        <v>157</v>
      </c>
      <c r="D39" s="9" t="s">
        <v>158</v>
      </c>
      <c r="E39" s="8" t="s">
        <v>143</v>
      </c>
      <c r="F39" s="9">
        <v>0</v>
      </c>
      <c r="G39" s="9">
        <v>0</v>
      </c>
      <c r="H39" s="9">
        <v>40</v>
      </c>
      <c r="I39" s="9">
        <v>80</v>
      </c>
      <c r="J39" s="9">
        <v>0</v>
      </c>
      <c r="K39" s="9">
        <v>0</v>
      </c>
      <c r="L39" s="9" t="s">
        <v>179</v>
      </c>
    </row>
    <row r="40" spans="1:12">
      <c r="A40" s="9" t="s">
        <v>65</v>
      </c>
      <c r="B40" s="9" t="s">
        <v>66</v>
      </c>
      <c r="C40" s="15" t="s">
        <v>157</v>
      </c>
      <c r="D40" s="9" t="s">
        <v>158</v>
      </c>
      <c r="E40" s="8" t="s">
        <v>143</v>
      </c>
      <c r="F40" s="9">
        <v>0</v>
      </c>
      <c r="G40" s="9">
        <v>0</v>
      </c>
      <c r="H40" s="9">
        <v>40</v>
      </c>
      <c r="I40" s="9">
        <v>40</v>
      </c>
      <c r="J40" s="9">
        <v>0</v>
      </c>
      <c r="K40" s="9">
        <v>0</v>
      </c>
      <c r="L40" s="9" t="s">
        <v>222</v>
      </c>
    </row>
    <row r="41" spans="1:12">
      <c r="A41" s="4" t="s">
        <v>67</v>
      </c>
      <c r="B41" s="4" t="s">
        <v>68</v>
      </c>
      <c r="C41" s="14" t="s">
        <v>157</v>
      </c>
      <c r="D41" s="4" t="s">
        <v>158</v>
      </c>
      <c r="E41" s="3" t="s">
        <v>143</v>
      </c>
      <c r="F41" s="4">
        <v>30</v>
      </c>
      <c r="G41" s="4">
        <v>30</v>
      </c>
      <c r="H41" s="4">
        <v>-30</v>
      </c>
      <c r="I41" s="4">
        <v>30</v>
      </c>
      <c r="J41" s="4">
        <v>0</v>
      </c>
      <c r="K41" s="4">
        <v>0</v>
      </c>
      <c r="L41" s="4" t="s">
        <v>161</v>
      </c>
    </row>
    <row r="42" spans="1:12">
      <c r="A42" s="4" t="s">
        <v>67</v>
      </c>
      <c r="B42" s="4" t="s">
        <v>68</v>
      </c>
      <c r="C42" s="14" t="s">
        <v>157</v>
      </c>
      <c r="D42" s="4" t="s">
        <v>158</v>
      </c>
      <c r="E42" s="3" t="s">
        <v>143</v>
      </c>
      <c r="F42" s="4">
        <v>0</v>
      </c>
      <c r="G42" s="4">
        <v>0</v>
      </c>
      <c r="H42" s="4">
        <v>30</v>
      </c>
      <c r="I42" s="4">
        <v>60</v>
      </c>
      <c r="J42" s="4">
        <v>0</v>
      </c>
      <c r="K42" s="4">
        <v>0</v>
      </c>
      <c r="L42" s="4" t="s">
        <v>178</v>
      </c>
    </row>
    <row r="43" spans="1:12">
      <c r="A43" s="4" t="s">
        <v>67</v>
      </c>
      <c r="B43" s="4" t="s">
        <v>68</v>
      </c>
      <c r="C43" s="14" t="s">
        <v>157</v>
      </c>
      <c r="D43" s="4" t="s">
        <v>158</v>
      </c>
      <c r="E43" s="3" t="s">
        <v>143</v>
      </c>
      <c r="F43" s="4">
        <v>0</v>
      </c>
      <c r="G43" s="4">
        <v>0</v>
      </c>
      <c r="H43" s="4">
        <v>30</v>
      </c>
      <c r="I43" s="4">
        <v>30</v>
      </c>
      <c r="J43" s="4">
        <v>0</v>
      </c>
      <c r="K43" s="4">
        <v>0</v>
      </c>
      <c r="L43" s="4" t="s">
        <v>221</v>
      </c>
    </row>
    <row r="44" spans="1:12">
      <c r="A44" s="4" t="s">
        <v>37</v>
      </c>
      <c r="B44" s="4" t="s">
        <v>38</v>
      </c>
      <c r="C44" s="14" t="s">
        <v>157</v>
      </c>
      <c r="D44" s="4" t="s">
        <v>158</v>
      </c>
      <c r="E44" s="3" t="s">
        <v>143</v>
      </c>
      <c r="F44" s="4">
        <v>84</v>
      </c>
      <c r="G44" s="4">
        <v>84</v>
      </c>
      <c r="H44" s="4">
        <v>-84</v>
      </c>
      <c r="I44" s="4">
        <v>84</v>
      </c>
      <c r="J44" s="4">
        <v>0</v>
      </c>
      <c r="K44" s="4">
        <v>0</v>
      </c>
      <c r="L44" s="4" t="s">
        <v>159</v>
      </c>
    </row>
    <row r="45" spans="1:12">
      <c r="A45" s="9" t="s">
        <v>37</v>
      </c>
      <c r="B45" s="9" t="s">
        <v>38</v>
      </c>
      <c r="C45" s="15" t="s">
        <v>157</v>
      </c>
      <c r="D45" s="9" t="s">
        <v>158</v>
      </c>
      <c r="E45" s="8" t="s">
        <v>143</v>
      </c>
      <c r="F45" s="9">
        <v>0</v>
      </c>
      <c r="G45" s="9">
        <v>0</v>
      </c>
      <c r="H45" s="9">
        <v>84</v>
      </c>
      <c r="I45" s="9">
        <v>168</v>
      </c>
      <c r="J45" s="9">
        <v>0</v>
      </c>
      <c r="K45" s="9">
        <v>0</v>
      </c>
      <c r="L45" s="9" t="s">
        <v>186</v>
      </c>
    </row>
    <row r="46" spans="1:12">
      <c r="A46" s="9" t="s">
        <v>37</v>
      </c>
      <c r="B46" s="9" t="s">
        <v>38</v>
      </c>
      <c r="C46" s="15" t="s">
        <v>157</v>
      </c>
      <c r="D46" s="9" t="s">
        <v>158</v>
      </c>
      <c r="E46" s="8" t="s">
        <v>143</v>
      </c>
      <c r="F46" s="9">
        <v>0</v>
      </c>
      <c r="G46" s="9">
        <v>0</v>
      </c>
      <c r="H46" s="9">
        <v>84</v>
      </c>
      <c r="I46" s="9">
        <v>84</v>
      </c>
      <c r="J46" s="9">
        <v>0</v>
      </c>
      <c r="K46" s="9">
        <v>0</v>
      </c>
      <c r="L46" s="9" t="s">
        <v>234</v>
      </c>
    </row>
    <row r="47" spans="1:12">
      <c r="A47" s="9" t="s">
        <v>69</v>
      </c>
      <c r="B47" s="9" t="s">
        <v>70</v>
      </c>
      <c r="C47" s="15" t="s">
        <v>157</v>
      </c>
      <c r="D47" s="9" t="s">
        <v>158</v>
      </c>
      <c r="E47" s="8" t="s">
        <v>143</v>
      </c>
      <c r="F47" s="9">
        <v>12</v>
      </c>
      <c r="G47" s="9">
        <v>12</v>
      </c>
      <c r="H47" s="9">
        <v>-12</v>
      </c>
      <c r="I47" s="9">
        <v>12</v>
      </c>
      <c r="J47" s="9">
        <v>0</v>
      </c>
      <c r="K47" s="9">
        <v>0</v>
      </c>
      <c r="L47" s="9" t="s">
        <v>160</v>
      </c>
    </row>
    <row r="48" spans="1:12">
      <c r="A48" s="9" t="s">
        <v>69</v>
      </c>
      <c r="B48" s="9" t="s">
        <v>70</v>
      </c>
      <c r="C48" s="15" t="s">
        <v>157</v>
      </c>
      <c r="D48" s="9" t="s">
        <v>158</v>
      </c>
      <c r="E48" s="8" t="s">
        <v>143</v>
      </c>
      <c r="F48" s="9">
        <v>0</v>
      </c>
      <c r="G48" s="9">
        <v>0</v>
      </c>
      <c r="H48" s="9">
        <v>12</v>
      </c>
      <c r="I48" s="9">
        <v>24</v>
      </c>
      <c r="J48" s="9">
        <v>0</v>
      </c>
      <c r="K48" s="9">
        <v>0</v>
      </c>
      <c r="L48" s="9" t="s">
        <v>178</v>
      </c>
    </row>
    <row r="49" spans="1:12">
      <c r="A49" s="9" t="s">
        <v>69</v>
      </c>
      <c r="B49" s="9" t="s">
        <v>70</v>
      </c>
      <c r="C49" s="15" t="s">
        <v>157</v>
      </c>
      <c r="D49" s="9" t="s">
        <v>158</v>
      </c>
      <c r="E49" s="8" t="s">
        <v>143</v>
      </c>
      <c r="F49" s="9">
        <v>0</v>
      </c>
      <c r="G49" s="9">
        <v>0</v>
      </c>
      <c r="H49" s="9">
        <v>12</v>
      </c>
      <c r="I49" s="9">
        <v>12</v>
      </c>
      <c r="J49" s="9">
        <v>0</v>
      </c>
      <c r="K49" s="9">
        <v>0</v>
      </c>
      <c r="L49" s="9" t="s">
        <v>221</v>
      </c>
    </row>
    <row r="50" spans="1:12" ht="60">
      <c r="A50" s="9" t="s">
        <v>71</v>
      </c>
      <c r="B50" s="9" t="s">
        <v>72</v>
      </c>
      <c r="C50" s="15" t="s">
        <v>157</v>
      </c>
      <c r="D50" s="9" t="s">
        <v>158</v>
      </c>
      <c r="E50" s="8" t="s">
        <v>143</v>
      </c>
      <c r="F50" s="9">
        <v>12</v>
      </c>
      <c r="G50" s="9">
        <v>12</v>
      </c>
      <c r="H50" s="9">
        <v>-12</v>
      </c>
      <c r="I50" s="9">
        <v>12</v>
      </c>
      <c r="J50" s="9">
        <v>0</v>
      </c>
      <c r="K50" s="9">
        <v>0</v>
      </c>
      <c r="L50" s="9" t="s">
        <v>161</v>
      </c>
    </row>
    <row r="51" spans="1:12" ht="60">
      <c r="A51" s="4" t="s">
        <v>71</v>
      </c>
      <c r="B51" s="4" t="s">
        <v>72</v>
      </c>
      <c r="C51" s="14" t="s">
        <v>157</v>
      </c>
      <c r="D51" s="4" t="s">
        <v>158</v>
      </c>
      <c r="E51" s="3" t="s">
        <v>143</v>
      </c>
      <c r="F51" s="4">
        <v>0</v>
      </c>
      <c r="G51" s="4">
        <v>0</v>
      </c>
      <c r="H51" s="4">
        <v>12</v>
      </c>
      <c r="I51" s="4">
        <v>24</v>
      </c>
      <c r="J51" s="4">
        <v>0</v>
      </c>
      <c r="K51" s="4">
        <v>0</v>
      </c>
      <c r="L51" s="4" t="s">
        <v>177</v>
      </c>
    </row>
    <row r="52" spans="1:12" ht="60">
      <c r="A52" s="4" t="s">
        <v>71</v>
      </c>
      <c r="B52" s="4" t="s">
        <v>72</v>
      </c>
      <c r="C52" s="14" t="s">
        <v>157</v>
      </c>
      <c r="D52" s="4" t="s">
        <v>158</v>
      </c>
      <c r="E52" s="3" t="s">
        <v>143</v>
      </c>
      <c r="F52" s="4">
        <v>0</v>
      </c>
      <c r="G52" s="4">
        <v>0</v>
      </c>
      <c r="H52" s="4">
        <v>12</v>
      </c>
      <c r="I52" s="4">
        <v>12</v>
      </c>
      <c r="J52" s="4">
        <v>0</v>
      </c>
      <c r="K52" s="4">
        <v>0</v>
      </c>
      <c r="L52" s="4" t="s">
        <v>220</v>
      </c>
    </row>
    <row r="53" spans="1:12">
      <c r="A53" s="9" t="s">
        <v>73</v>
      </c>
      <c r="B53" s="9" t="s">
        <v>74</v>
      </c>
      <c r="C53" s="15" t="s">
        <v>157</v>
      </c>
      <c r="D53" s="9" t="s">
        <v>158</v>
      </c>
      <c r="E53" s="8" t="s">
        <v>143</v>
      </c>
      <c r="F53" s="9">
        <v>12</v>
      </c>
      <c r="G53" s="9">
        <v>12</v>
      </c>
      <c r="H53" s="9">
        <v>-12</v>
      </c>
      <c r="I53" s="9">
        <v>12</v>
      </c>
      <c r="J53" s="9">
        <v>0</v>
      </c>
      <c r="K53" s="9">
        <v>0</v>
      </c>
      <c r="L53" s="9" t="s">
        <v>160</v>
      </c>
    </row>
    <row r="54" spans="1:12">
      <c r="A54" s="9" t="s">
        <v>73</v>
      </c>
      <c r="B54" s="9" t="s">
        <v>74</v>
      </c>
      <c r="C54" s="15" t="s">
        <v>157</v>
      </c>
      <c r="D54" s="9" t="s">
        <v>158</v>
      </c>
      <c r="E54" s="8" t="s">
        <v>143</v>
      </c>
      <c r="F54" s="9">
        <v>0</v>
      </c>
      <c r="G54" s="9">
        <v>0</v>
      </c>
      <c r="H54" s="9">
        <v>12</v>
      </c>
      <c r="I54" s="9">
        <v>24</v>
      </c>
      <c r="J54" s="9">
        <v>0</v>
      </c>
      <c r="K54" s="9">
        <v>0</v>
      </c>
      <c r="L54" s="9" t="s">
        <v>176</v>
      </c>
    </row>
    <row r="55" spans="1:12">
      <c r="A55" s="9" t="s">
        <v>73</v>
      </c>
      <c r="B55" s="9" t="s">
        <v>74</v>
      </c>
      <c r="C55" s="15" t="s">
        <v>157</v>
      </c>
      <c r="D55" s="9" t="s">
        <v>158</v>
      </c>
      <c r="E55" s="8" t="s">
        <v>143</v>
      </c>
      <c r="F55" s="9">
        <v>0</v>
      </c>
      <c r="G55" s="9">
        <v>0</v>
      </c>
      <c r="H55" s="9">
        <v>12</v>
      </c>
      <c r="I55" s="9">
        <v>12</v>
      </c>
      <c r="J55" s="9">
        <v>0</v>
      </c>
      <c r="K55" s="9">
        <v>0</v>
      </c>
      <c r="L55" s="9" t="s">
        <v>219</v>
      </c>
    </row>
    <row r="56" spans="1:12">
      <c r="A56" s="9" t="s">
        <v>75</v>
      </c>
      <c r="B56" s="9" t="s">
        <v>76</v>
      </c>
      <c r="C56" s="15" t="s">
        <v>157</v>
      </c>
      <c r="D56" s="9" t="s">
        <v>158</v>
      </c>
      <c r="E56" s="8" t="s">
        <v>143</v>
      </c>
      <c r="F56" s="9">
        <v>30</v>
      </c>
      <c r="G56" s="9">
        <v>30</v>
      </c>
      <c r="H56" s="9">
        <v>-30</v>
      </c>
      <c r="I56" s="9">
        <v>30</v>
      </c>
      <c r="J56" s="9">
        <v>0</v>
      </c>
      <c r="K56" s="9">
        <v>0</v>
      </c>
      <c r="L56" s="9" t="s">
        <v>160</v>
      </c>
    </row>
    <row r="57" spans="1:12">
      <c r="A57" s="4" t="s">
        <v>75</v>
      </c>
      <c r="B57" s="4" t="s">
        <v>76</v>
      </c>
      <c r="C57" s="14" t="s">
        <v>157</v>
      </c>
      <c r="D57" s="4" t="s">
        <v>158</v>
      </c>
      <c r="E57" s="3" t="s">
        <v>143</v>
      </c>
      <c r="F57" s="4">
        <v>0</v>
      </c>
      <c r="G57" s="4">
        <v>0</v>
      </c>
      <c r="H57" s="4">
        <v>30</v>
      </c>
      <c r="I57" s="4">
        <v>60</v>
      </c>
      <c r="J57" s="4">
        <v>0</v>
      </c>
      <c r="K57" s="4">
        <v>0</v>
      </c>
      <c r="L57" s="4" t="s">
        <v>176</v>
      </c>
    </row>
    <row r="58" spans="1:12">
      <c r="A58" s="4" t="s">
        <v>75</v>
      </c>
      <c r="B58" s="4" t="s">
        <v>76</v>
      </c>
      <c r="C58" s="14" t="s">
        <v>157</v>
      </c>
      <c r="D58" s="4" t="s">
        <v>158</v>
      </c>
      <c r="E58" s="3" t="s">
        <v>143</v>
      </c>
      <c r="F58" s="4">
        <v>0</v>
      </c>
      <c r="G58" s="4">
        <v>0</v>
      </c>
      <c r="H58" s="4">
        <v>30</v>
      </c>
      <c r="I58" s="4">
        <v>30</v>
      </c>
      <c r="J58" s="4">
        <v>0</v>
      </c>
      <c r="K58" s="4">
        <v>0</v>
      </c>
      <c r="L58" s="4" t="s">
        <v>218</v>
      </c>
    </row>
    <row r="59" spans="1:12" ht="30">
      <c r="A59" s="9" t="s">
        <v>16</v>
      </c>
      <c r="B59" s="9" t="s">
        <v>17</v>
      </c>
      <c r="C59" s="15" t="s">
        <v>157</v>
      </c>
      <c r="D59" s="9" t="s">
        <v>158</v>
      </c>
      <c r="E59" s="8" t="s">
        <v>143</v>
      </c>
      <c r="F59" s="9">
        <v>36</v>
      </c>
      <c r="G59" s="9">
        <v>36</v>
      </c>
      <c r="H59" s="9">
        <v>-36</v>
      </c>
      <c r="I59" s="9">
        <v>36</v>
      </c>
      <c r="J59" s="9">
        <v>0</v>
      </c>
      <c r="K59" s="9">
        <v>0</v>
      </c>
      <c r="L59" s="9" t="s">
        <v>159</v>
      </c>
    </row>
    <row r="60" spans="1:12" ht="30">
      <c r="A60" s="9" t="s">
        <v>16</v>
      </c>
      <c r="B60" s="9" t="s">
        <v>17</v>
      </c>
      <c r="C60" s="15" t="s">
        <v>157</v>
      </c>
      <c r="D60" s="9" t="s">
        <v>158</v>
      </c>
      <c r="E60" s="8" t="s">
        <v>143</v>
      </c>
      <c r="F60" s="9">
        <v>0</v>
      </c>
      <c r="G60" s="9">
        <v>0</v>
      </c>
      <c r="H60" s="9">
        <v>36</v>
      </c>
      <c r="I60" s="9">
        <v>72</v>
      </c>
      <c r="J60" s="9">
        <v>0</v>
      </c>
      <c r="K60" s="9">
        <v>0</v>
      </c>
      <c r="L60" s="9" t="s">
        <v>189</v>
      </c>
    </row>
    <row r="61" spans="1:12" ht="30">
      <c r="A61" s="9" t="s">
        <v>16</v>
      </c>
      <c r="B61" s="9" t="s">
        <v>17</v>
      </c>
      <c r="C61" s="15" t="s">
        <v>157</v>
      </c>
      <c r="D61" s="9" t="s">
        <v>158</v>
      </c>
      <c r="E61" s="8" t="s">
        <v>143</v>
      </c>
      <c r="F61" s="9">
        <v>0</v>
      </c>
      <c r="G61" s="9">
        <v>0</v>
      </c>
      <c r="H61" s="9">
        <v>36</v>
      </c>
      <c r="I61" s="9">
        <v>36</v>
      </c>
      <c r="J61" s="9">
        <v>0</v>
      </c>
      <c r="K61" s="9">
        <v>0</v>
      </c>
      <c r="L61" s="9" t="s">
        <v>242</v>
      </c>
    </row>
    <row r="62" spans="1:12">
      <c r="A62" s="9" t="s">
        <v>21</v>
      </c>
      <c r="B62" s="9" t="s">
        <v>22</v>
      </c>
      <c r="C62" s="15" t="s">
        <v>157</v>
      </c>
      <c r="D62" s="9" t="s">
        <v>158</v>
      </c>
      <c r="E62" s="8" t="s">
        <v>143</v>
      </c>
      <c r="F62" s="9">
        <v>36</v>
      </c>
      <c r="G62" s="9">
        <v>36</v>
      </c>
      <c r="H62" s="9">
        <v>-36</v>
      </c>
      <c r="I62" s="9">
        <v>36</v>
      </c>
      <c r="J62" s="9">
        <v>0</v>
      </c>
      <c r="K62" s="9">
        <v>0</v>
      </c>
      <c r="L62" s="9" t="s">
        <v>159</v>
      </c>
    </row>
    <row r="63" spans="1:12">
      <c r="A63" s="4" t="s">
        <v>21</v>
      </c>
      <c r="B63" s="4" t="s">
        <v>22</v>
      </c>
      <c r="C63" s="14" t="s">
        <v>157</v>
      </c>
      <c r="D63" s="4" t="s">
        <v>158</v>
      </c>
      <c r="E63" s="3" t="s">
        <v>143</v>
      </c>
      <c r="F63" s="4">
        <v>0</v>
      </c>
      <c r="G63" s="4">
        <v>0</v>
      </c>
      <c r="H63" s="4">
        <v>36</v>
      </c>
      <c r="I63" s="4">
        <v>72</v>
      </c>
      <c r="J63" s="4">
        <v>0</v>
      </c>
      <c r="K63" s="4">
        <v>0</v>
      </c>
      <c r="L63" s="4" t="s">
        <v>188</v>
      </c>
    </row>
    <row r="64" spans="1:12">
      <c r="A64" s="4" t="s">
        <v>21</v>
      </c>
      <c r="B64" s="4" t="s">
        <v>22</v>
      </c>
      <c r="C64" s="14" t="s">
        <v>157</v>
      </c>
      <c r="D64" s="4" t="s">
        <v>158</v>
      </c>
      <c r="E64" s="3" t="s">
        <v>143</v>
      </c>
      <c r="F64" s="4">
        <v>0</v>
      </c>
      <c r="G64" s="4">
        <v>0</v>
      </c>
      <c r="H64" s="4">
        <v>36</v>
      </c>
      <c r="I64" s="4">
        <v>36</v>
      </c>
      <c r="J64" s="4">
        <v>0</v>
      </c>
      <c r="K64" s="4">
        <v>0</v>
      </c>
      <c r="L64" s="4" t="s">
        <v>241</v>
      </c>
    </row>
    <row r="65" spans="1:12">
      <c r="A65" s="9" t="s">
        <v>77</v>
      </c>
      <c r="B65" s="9" t="s">
        <v>78</v>
      </c>
      <c r="C65" s="15" t="s">
        <v>157</v>
      </c>
      <c r="D65" s="9" t="s">
        <v>158</v>
      </c>
      <c r="E65" s="8" t="s">
        <v>143</v>
      </c>
      <c r="F65" s="9">
        <v>12</v>
      </c>
      <c r="G65" s="9">
        <v>12</v>
      </c>
      <c r="H65" s="9">
        <v>-12</v>
      </c>
      <c r="I65" s="9">
        <v>12</v>
      </c>
      <c r="J65" s="9">
        <v>0</v>
      </c>
      <c r="K65" s="9">
        <v>0</v>
      </c>
      <c r="L65" s="9" t="s">
        <v>160</v>
      </c>
    </row>
    <row r="66" spans="1:12">
      <c r="A66" s="9" t="s">
        <v>77</v>
      </c>
      <c r="B66" s="9" t="s">
        <v>78</v>
      </c>
      <c r="C66" s="15" t="s">
        <v>157</v>
      </c>
      <c r="D66" s="9" t="s">
        <v>158</v>
      </c>
      <c r="E66" s="8" t="s">
        <v>143</v>
      </c>
      <c r="F66" s="9">
        <v>0</v>
      </c>
      <c r="G66" s="9">
        <v>0</v>
      </c>
      <c r="H66" s="9">
        <v>12</v>
      </c>
      <c r="I66" s="9">
        <v>24</v>
      </c>
      <c r="J66" s="9">
        <v>0</v>
      </c>
      <c r="K66" s="9">
        <v>0</v>
      </c>
      <c r="L66" s="9" t="s">
        <v>176</v>
      </c>
    </row>
    <row r="67" spans="1:12">
      <c r="A67" s="9" t="s">
        <v>77</v>
      </c>
      <c r="B67" s="9" t="s">
        <v>78</v>
      </c>
      <c r="C67" s="15" t="s">
        <v>157</v>
      </c>
      <c r="D67" s="9" t="s">
        <v>158</v>
      </c>
      <c r="E67" s="8" t="s">
        <v>143</v>
      </c>
      <c r="F67" s="9">
        <v>0</v>
      </c>
      <c r="G67" s="9">
        <v>0</v>
      </c>
      <c r="H67" s="9">
        <v>12</v>
      </c>
      <c r="I67" s="9">
        <v>12</v>
      </c>
      <c r="J67" s="9">
        <v>0</v>
      </c>
      <c r="K67" s="9">
        <v>0</v>
      </c>
      <c r="L67" s="9" t="s">
        <v>217</v>
      </c>
    </row>
    <row r="68" spans="1:12">
      <c r="A68" s="9" t="s">
        <v>79</v>
      </c>
      <c r="B68" s="9" t="s">
        <v>80</v>
      </c>
      <c r="C68" s="15" t="s">
        <v>157</v>
      </c>
      <c r="D68" s="9" t="s">
        <v>158</v>
      </c>
      <c r="E68" s="8" t="s">
        <v>143</v>
      </c>
      <c r="F68" s="9">
        <v>12</v>
      </c>
      <c r="G68" s="9">
        <v>12</v>
      </c>
      <c r="H68" s="9">
        <v>-12</v>
      </c>
      <c r="I68" s="9">
        <v>12</v>
      </c>
      <c r="J68" s="9">
        <v>0</v>
      </c>
      <c r="K68" s="9">
        <v>0</v>
      </c>
      <c r="L68" s="9" t="s">
        <v>160</v>
      </c>
    </row>
    <row r="69" spans="1:12">
      <c r="A69" s="4" t="s">
        <v>79</v>
      </c>
      <c r="B69" s="4" t="s">
        <v>80</v>
      </c>
      <c r="C69" s="14" t="s">
        <v>157</v>
      </c>
      <c r="D69" s="4" t="s">
        <v>158</v>
      </c>
      <c r="E69" s="3" t="s">
        <v>143</v>
      </c>
      <c r="F69" s="4">
        <v>0</v>
      </c>
      <c r="G69" s="4">
        <v>0</v>
      </c>
      <c r="H69" s="4">
        <v>12</v>
      </c>
      <c r="I69" s="4">
        <v>24</v>
      </c>
      <c r="J69" s="4">
        <v>0</v>
      </c>
      <c r="K69" s="4">
        <v>0</v>
      </c>
      <c r="L69" s="4" t="s">
        <v>175</v>
      </c>
    </row>
    <row r="70" spans="1:12">
      <c r="A70" s="4" t="s">
        <v>79</v>
      </c>
      <c r="B70" s="4" t="s">
        <v>80</v>
      </c>
      <c r="C70" s="14" t="s">
        <v>157</v>
      </c>
      <c r="D70" s="4" t="s">
        <v>158</v>
      </c>
      <c r="E70" s="3" t="s">
        <v>143</v>
      </c>
      <c r="F70" s="4">
        <v>0</v>
      </c>
      <c r="G70" s="4">
        <v>0</v>
      </c>
      <c r="H70" s="4">
        <v>12</v>
      </c>
      <c r="I70" s="4">
        <v>12</v>
      </c>
      <c r="J70" s="4">
        <v>0</v>
      </c>
      <c r="K70" s="4">
        <v>0</v>
      </c>
      <c r="L70" s="4" t="s">
        <v>216</v>
      </c>
    </row>
    <row r="71" spans="1:12">
      <c r="A71" s="9" t="s">
        <v>81</v>
      </c>
      <c r="B71" s="9" t="s">
        <v>82</v>
      </c>
      <c r="C71" s="15" t="s">
        <v>157</v>
      </c>
      <c r="D71" s="9" t="s">
        <v>158</v>
      </c>
      <c r="E71" s="8" t="s">
        <v>143</v>
      </c>
      <c r="F71" s="9">
        <v>16</v>
      </c>
      <c r="G71" s="9">
        <v>16</v>
      </c>
      <c r="H71" s="9">
        <v>-16</v>
      </c>
      <c r="I71" s="9">
        <v>16</v>
      </c>
      <c r="J71" s="9">
        <v>0</v>
      </c>
      <c r="K71" s="9">
        <v>0</v>
      </c>
      <c r="L71" s="9" t="s">
        <v>161</v>
      </c>
    </row>
    <row r="72" spans="1:12">
      <c r="A72" s="9" t="s">
        <v>81</v>
      </c>
      <c r="B72" s="9" t="s">
        <v>82</v>
      </c>
      <c r="C72" s="15" t="s">
        <v>157</v>
      </c>
      <c r="D72" s="9" t="s">
        <v>158</v>
      </c>
      <c r="E72" s="8" t="s">
        <v>143</v>
      </c>
      <c r="F72" s="9">
        <v>0</v>
      </c>
      <c r="G72" s="9">
        <v>0</v>
      </c>
      <c r="H72" s="9">
        <v>16</v>
      </c>
      <c r="I72" s="9">
        <v>32</v>
      </c>
      <c r="J72" s="9">
        <v>0</v>
      </c>
      <c r="K72" s="9">
        <v>0</v>
      </c>
      <c r="L72" s="9" t="s">
        <v>174</v>
      </c>
    </row>
    <row r="73" spans="1:12">
      <c r="A73" s="9" t="s">
        <v>81</v>
      </c>
      <c r="B73" s="9" t="s">
        <v>82</v>
      </c>
      <c r="C73" s="15" t="s">
        <v>157</v>
      </c>
      <c r="D73" s="9" t="s">
        <v>158</v>
      </c>
      <c r="E73" s="8" t="s">
        <v>143</v>
      </c>
      <c r="F73" s="9">
        <v>0</v>
      </c>
      <c r="G73" s="9">
        <v>0</v>
      </c>
      <c r="H73" s="9">
        <v>16</v>
      </c>
      <c r="I73" s="9">
        <v>16</v>
      </c>
      <c r="J73" s="9">
        <v>0</v>
      </c>
      <c r="K73" s="9">
        <v>0</v>
      </c>
      <c r="L73" s="9" t="s">
        <v>215</v>
      </c>
    </row>
    <row r="74" spans="1:12">
      <c r="A74" s="9" t="s">
        <v>83</v>
      </c>
      <c r="B74" s="9" t="s">
        <v>84</v>
      </c>
      <c r="C74" s="15" t="s">
        <v>157</v>
      </c>
      <c r="D74" s="9" t="s">
        <v>158</v>
      </c>
      <c r="E74" s="8" t="s">
        <v>143</v>
      </c>
      <c r="F74" s="9">
        <v>48</v>
      </c>
      <c r="G74" s="9">
        <v>48</v>
      </c>
      <c r="H74" s="9">
        <v>-48</v>
      </c>
      <c r="I74" s="9">
        <v>48</v>
      </c>
      <c r="J74" s="9">
        <v>0</v>
      </c>
      <c r="K74" s="9">
        <v>0</v>
      </c>
      <c r="L74" s="9" t="s">
        <v>159</v>
      </c>
    </row>
    <row r="75" spans="1:12">
      <c r="A75" s="4" t="s">
        <v>83</v>
      </c>
      <c r="B75" s="4" t="s">
        <v>84</v>
      </c>
      <c r="C75" s="14" t="s">
        <v>157</v>
      </c>
      <c r="D75" s="4" t="s">
        <v>158</v>
      </c>
      <c r="E75" s="3" t="s">
        <v>143</v>
      </c>
      <c r="F75" s="4">
        <v>0</v>
      </c>
      <c r="G75" s="4">
        <v>0</v>
      </c>
      <c r="H75" s="4">
        <v>48</v>
      </c>
      <c r="I75" s="4">
        <v>96</v>
      </c>
      <c r="J75" s="4">
        <v>0</v>
      </c>
      <c r="K75" s="4">
        <v>0</v>
      </c>
      <c r="L75" s="4" t="s">
        <v>174</v>
      </c>
    </row>
    <row r="76" spans="1:12">
      <c r="A76" s="4" t="s">
        <v>83</v>
      </c>
      <c r="B76" s="4" t="s">
        <v>84</v>
      </c>
      <c r="C76" s="14" t="s">
        <v>157</v>
      </c>
      <c r="D76" s="4" t="s">
        <v>158</v>
      </c>
      <c r="E76" s="3" t="s">
        <v>143</v>
      </c>
      <c r="F76" s="4">
        <v>0</v>
      </c>
      <c r="G76" s="4">
        <v>0</v>
      </c>
      <c r="H76" s="4">
        <v>48</v>
      </c>
      <c r="I76" s="4">
        <v>48</v>
      </c>
      <c r="J76" s="4">
        <v>0</v>
      </c>
      <c r="K76" s="4">
        <v>0</v>
      </c>
      <c r="L76" s="4" t="s">
        <v>214</v>
      </c>
    </row>
    <row r="77" spans="1:12">
      <c r="A77" s="4" t="s">
        <v>28</v>
      </c>
      <c r="B77" s="4" t="s">
        <v>29</v>
      </c>
      <c r="C77" s="14" t="s">
        <v>157</v>
      </c>
      <c r="D77" s="4" t="s">
        <v>158</v>
      </c>
      <c r="E77" s="3" t="s">
        <v>143</v>
      </c>
      <c r="F77" s="4">
        <v>24</v>
      </c>
      <c r="G77" s="4">
        <v>24</v>
      </c>
      <c r="H77" s="4">
        <v>-24</v>
      </c>
      <c r="I77" s="4">
        <v>24</v>
      </c>
      <c r="J77" s="4">
        <v>0</v>
      </c>
      <c r="K77" s="4">
        <v>0</v>
      </c>
      <c r="L77" s="4" t="s">
        <v>160</v>
      </c>
    </row>
    <row r="78" spans="1:12">
      <c r="A78" s="9" t="s">
        <v>28</v>
      </c>
      <c r="B78" s="9" t="s">
        <v>29</v>
      </c>
      <c r="C78" s="15" t="s">
        <v>157</v>
      </c>
      <c r="D78" s="9" t="s">
        <v>158</v>
      </c>
      <c r="E78" s="8" t="s">
        <v>143</v>
      </c>
      <c r="F78" s="9">
        <v>0</v>
      </c>
      <c r="G78" s="9">
        <v>0</v>
      </c>
      <c r="H78" s="9">
        <v>24</v>
      </c>
      <c r="I78" s="9">
        <v>48</v>
      </c>
      <c r="J78" s="9">
        <v>0</v>
      </c>
      <c r="K78" s="9">
        <v>0</v>
      </c>
      <c r="L78" s="9" t="s">
        <v>188</v>
      </c>
    </row>
    <row r="79" spans="1:12">
      <c r="A79" s="9" t="s">
        <v>28</v>
      </c>
      <c r="B79" s="9" t="s">
        <v>29</v>
      </c>
      <c r="C79" s="15" t="s">
        <v>157</v>
      </c>
      <c r="D79" s="9" t="s">
        <v>158</v>
      </c>
      <c r="E79" s="8" t="s">
        <v>143</v>
      </c>
      <c r="F79" s="9">
        <v>0</v>
      </c>
      <c r="G79" s="9">
        <v>0</v>
      </c>
      <c r="H79" s="9">
        <v>24</v>
      </c>
      <c r="I79" s="9">
        <v>24</v>
      </c>
      <c r="J79" s="9">
        <v>0</v>
      </c>
      <c r="K79" s="9">
        <v>0</v>
      </c>
      <c r="L79" s="9" t="s">
        <v>238</v>
      </c>
    </row>
    <row r="80" spans="1:12" ht="30">
      <c r="A80" s="4" t="s">
        <v>85</v>
      </c>
      <c r="B80" s="4" t="s">
        <v>86</v>
      </c>
      <c r="C80" s="14" t="s">
        <v>157</v>
      </c>
      <c r="D80" s="4" t="s">
        <v>158</v>
      </c>
      <c r="E80" s="3" t="s">
        <v>143</v>
      </c>
      <c r="F80" s="4">
        <v>48</v>
      </c>
      <c r="G80" s="4">
        <v>48</v>
      </c>
      <c r="H80" s="4">
        <v>-48</v>
      </c>
      <c r="I80" s="4">
        <v>48</v>
      </c>
      <c r="J80" s="4">
        <v>0</v>
      </c>
      <c r="K80" s="4">
        <v>0</v>
      </c>
      <c r="L80" s="4" t="s">
        <v>161</v>
      </c>
    </row>
    <row r="81" spans="1:12" ht="30">
      <c r="A81" s="9" t="s">
        <v>85</v>
      </c>
      <c r="B81" s="9" t="s">
        <v>86</v>
      </c>
      <c r="C81" s="15" t="s">
        <v>157</v>
      </c>
      <c r="D81" s="9" t="s">
        <v>158</v>
      </c>
      <c r="E81" s="8" t="s">
        <v>143</v>
      </c>
      <c r="F81" s="9">
        <v>0</v>
      </c>
      <c r="G81" s="9">
        <v>0</v>
      </c>
      <c r="H81" s="9">
        <v>48</v>
      </c>
      <c r="I81" s="9">
        <v>96</v>
      </c>
      <c r="J81" s="9">
        <v>0</v>
      </c>
      <c r="K81" s="9">
        <v>0</v>
      </c>
      <c r="L81" s="9" t="s">
        <v>174</v>
      </c>
    </row>
    <row r="82" spans="1:12" ht="30">
      <c r="A82" s="9" t="s">
        <v>85</v>
      </c>
      <c r="B82" s="9" t="s">
        <v>86</v>
      </c>
      <c r="C82" s="15" t="s">
        <v>157</v>
      </c>
      <c r="D82" s="9" t="s">
        <v>158</v>
      </c>
      <c r="E82" s="8" t="s">
        <v>143</v>
      </c>
      <c r="F82" s="9">
        <v>0</v>
      </c>
      <c r="G82" s="9">
        <v>0</v>
      </c>
      <c r="H82" s="9">
        <v>48</v>
      </c>
      <c r="I82" s="9">
        <v>48</v>
      </c>
      <c r="J82" s="9">
        <v>0</v>
      </c>
      <c r="K82" s="9">
        <v>0</v>
      </c>
      <c r="L82" s="9" t="s">
        <v>213</v>
      </c>
    </row>
    <row r="83" spans="1:12" ht="30">
      <c r="A83" s="4" t="s">
        <v>87</v>
      </c>
      <c r="B83" s="4" t="s">
        <v>88</v>
      </c>
      <c r="C83" s="14" t="s">
        <v>157</v>
      </c>
      <c r="D83" s="4" t="s">
        <v>158</v>
      </c>
      <c r="E83" s="3" t="s">
        <v>143</v>
      </c>
      <c r="F83" s="4">
        <v>48</v>
      </c>
      <c r="G83" s="4">
        <v>48</v>
      </c>
      <c r="H83" s="4">
        <v>-48</v>
      </c>
      <c r="I83" s="4">
        <v>48</v>
      </c>
      <c r="J83" s="4">
        <v>0</v>
      </c>
      <c r="K83" s="4">
        <v>0</v>
      </c>
      <c r="L83" s="4" t="s">
        <v>160</v>
      </c>
    </row>
    <row r="84" spans="1:12" ht="30">
      <c r="A84" s="4" t="s">
        <v>87</v>
      </c>
      <c r="B84" s="4" t="s">
        <v>88</v>
      </c>
      <c r="C84" s="14" t="s">
        <v>157</v>
      </c>
      <c r="D84" s="4" t="s">
        <v>158</v>
      </c>
      <c r="E84" s="3" t="s">
        <v>143</v>
      </c>
      <c r="F84" s="4">
        <v>0</v>
      </c>
      <c r="G84" s="4">
        <v>0</v>
      </c>
      <c r="H84" s="4">
        <v>48</v>
      </c>
      <c r="I84" s="4">
        <v>96</v>
      </c>
      <c r="J84" s="4">
        <v>0</v>
      </c>
      <c r="K84" s="4">
        <v>0</v>
      </c>
      <c r="L84" s="4" t="s">
        <v>173</v>
      </c>
    </row>
    <row r="85" spans="1:12" ht="30">
      <c r="A85" s="4" t="s">
        <v>87</v>
      </c>
      <c r="B85" s="4" t="s">
        <v>88</v>
      </c>
      <c r="C85" s="14" t="s">
        <v>157</v>
      </c>
      <c r="D85" s="4" t="s">
        <v>158</v>
      </c>
      <c r="E85" s="3" t="s">
        <v>143</v>
      </c>
      <c r="F85" s="4">
        <v>0</v>
      </c>
      <c r="G85" s="4">
        <v>0</v>
      </c>
      <c r="H85" s="4">
        <v>48</v>
      </c>
      <c r="I85" s="4">
        <v>48</v>
      </c>
      <c r="J85" s="4">
        <v>0</v>
      </c>
      <c r="K85" s="4">
        <v>0</v>
      </c>
      <c r="L85" s="4" t="s">
        <v>213</v>
      </c>
    </row>
    <row r="86" spans="1:12">
      <c r="A86" s="4" t="s">
        <v>89</v>
      </c>
      <c r="B86" s="4" t="s">
        <v>90</v>
      </c>
      <c r="C86" s="14" t="s">
        <v>157</v>
      </c>
      <c r="D86" s="4" t="s">
        <v>158</v>
      </c>
      <c r="E86" s="3" t="s">
        <v>143</v>
      </c>
      <c r="F86" s="4">
        <v>48</v>
      </c>
      <c r="G86" s="4">
        <v>48</v>
      </c>
      <c r="H86" s="4">
        <v>-48</v>
      </c>
      <c r="I86" s="4">
        <v>48</v>
      </c>
      <c r="J86" s="4">
        <v>0</v>
      </c>
      <c r="K86" s="4">
        <v>0</v>
      </c>
      <c r="L86" s="4" t="s">
        <v>160</v>
      </c>
    </row>
    <row r="87" spans="1:12">
      <c r="A87" s="9" t="s">
        <v>89</v>
      </c>
      <c r="B87" s="9" t="s">
        <v>90</v>
      </c>
      <c r="C87" s="15" t="s">
        <v>157</v>
      </c>
      <c r="D87" s="9" t="s">
        <v>158</v>
      </c>
      <c r="E87" s="8" t="s">
        <v>143</v>
      </c>
      <c r="F87" s="9">
        <v>0</v>
      </c>
      <c r="G87" s="9">
        <v>0</v>
      </c>
      <c r="H87" s="9">
        <v>48</v>
      </c>
      <c r="I87" s="9">
        <v>96</v>
      </c>
      <c r="J87" s="9">
        <v>0</v>
      </c>
      <c r="K87" s="9">
        <v>0</v>
      </c>
      <c r="L87" s="9" t="s">
        <v>172</v>
      </c>
    </row>
    <row r="88" spans="1:12">
      <c r="A88" s="9" t="s">
        <v>89</v>
      </c>
      <c r="B88" s="9" t="s">
        <v>90</v>
      </c>
      <c r="C88" s="15" t="s">
        <v>157</v>
      </c>
      <c r="D88" s="9" t="s">
        <v>158</v>
      </c>
      <c r="E88" s="8" t="s">
        <v>143</v>
      </c>
      <c r="F88" s="9">
        <v>0</v>
      </c>
      <c r="G88" s="9">
        <v>0</v>
      </c>
      <c r="H88" s="9">
        <v>48</v>
      </c>
      <c r="I88" s="9">
        <v>48</v>
      </c>
      <c r="J88" s="9">
        <v>0</v>
      </c>
      <c r="K88" s="9">
        <v>0</v>
      </c>
      <c r="L88" s="9" t="s">
        <v>212</v>
      </c>
    </row>
    <row r="89" spans="1:12">
      <c r="A89" s="4" t="s">
        <v>91</v>
      </c>
      <c r="B89" s="4" t="s">
        <v>92</v>
      </c>
      <c r="C89" s="14" t="s">
        <v>157</v>
      </c>
      <c r="D89" s="4" t="s">
        <v>158</v>
      </c>
      <c r="E89" s="3" t="s">
        <v>143</v>
      </c>
      <c r="F89" s="4">
        <v>30</v>
      </c>
      <c r="G89" s="4">
        <v>30</v>
      </c>
      <c r="H89" s="4">
        <v>-30</v>
      </c>
      <c r="I89" s="4">
        <v>30</v>
      </c>
      <c r="J89" s="4">
        <v>0</v>
      </c>
      <c r="K89" s="4">
        <v>0</v>
      </c>
      <c r="L89" s="4" t="s">
        <v>160</v>
      </c>
    </row>
    <row r="90" spans="1:12">
      <c r="A90" s="4" t="s">
        <v>91</v>
      </c>
      <c r="B90" s="4" t="s">
        <v>92</v>
      </c>
      <c r="C90" s="14" t="s">
        <v>157</v>
      </c>
      <c r="D90" s="4" t="s">
        <v>158</v>
      </c>
      <c r="E90" s="3" t="s">
        <v>143</v>
      </c>
      <c r="F90" s="4">
        <v>0</v>
      </c>
      <c r="G90" s="4">
        <v>0</v>
      </c>
      <c r="H90" s="4">
        <v>30</v>
      </c>
      <c r="I90" s="4">
        <v>60</v>
      </c>
      <c r="J90" s="4">
        <v>0</v>
      </c>
      <c r="K90" s="4">
        <v>0</v>
      </c>
      <c r="L90" s="4" t="s">
        <v>171</v>
      </c>
    </row>
    <row r="91" spans="1:12">
      <c r="A91" s="4" t="s">
        <v>91</v>
      </c>
      <c r="B91" s="4" t="s">
        <v>92</v>
      </c>
      <c r="C91" s="14" t="s">
        <v>157</v>
      </c>
      <c r="D91" s="4" t="s">
        <v>158</v>
      </c>
      <c r="E91" s="3" t="s">
        <v>143</v>
      </c>
      <c r="F91" s="4">
        <v>0</v>
      </c>
      <c r="G91" s="4">
        <v>0</v>
      </c>
      <c r="H91" s="4">
        <v>30</v>
      </c>
      <c r="I91" s="4">
        <v>30</v>
      </c>
      <c r="J91" s="4">
        <v>0</v>
      </c>
      <c r="K91" s="4">
        <v>0</v>
      </c>
      <c r="L91" s="4" t="s">
        <v>211</v>
      </c>
    </row>
    <row r="92" spans="1:12">
      <c r="A92" s="4" t="s">
        <v>93</v>
      </c>
      <c r="B92" s="4" t="s">
        <v>94</v>
      </c>
      <c r="C92" s="14" t="s">
        <v>157</v>
      </c>
      <c r="D92" s="4" t="s">
        <v>158</v>
      </c>
      <c r="E92" s="3" t="s">
        <v>143</v>
      </c>
      <c r="F92" s="4">
        <v>30</v>
      </c>
      <c r="G92" s="4">
        <v>30</v>
      </c>
      <c r="H92" s="4">
        <v>-30</v>
      </c>
      <c r="I92" s="4">
        <v>30</v>
      </c>
      <c r="J92" s="4">
        <v>0</v>
      </c>
      <c r="K92" s="4">
        <v>0</v>
      </c>
      <c r="L92" s="4" t="s">
        <v>160</v>
      </c>
    </row>
    <row r="93" spans="1:12">
      <c r="A93" s="9" t="s">
        <v>93</v>
      </c>
      <c r="B93" s="9" t="s">
        <v>94</v>
      </c>
      <c r="C93" s="15" t="s">
        <v>157</v>
      </c>
      <c r="D93" s="9" t="s">
        <v>158</v>
      </c>
      <c r="E93" s="8" t="s">
        <v>143</v>
      </c>
      <c r="F93" s="9">
        <v>0</v>
      </c>
      <c r="G93" s="9">
        <v>0</v>
      </c>
      <c r="H93" s="9">
        <v>30</v>
      </c>
      <c r="I93" s="9">
        <v>60</v>
      </c>
      <c r="J93" s="9">
        <v>0</v>
      </c>
      <c r="K93" s="9">
        <v>0</v>
      </c>
      <c r="L93" s="9" t="s">
        <v>171</v>
      </c>
    </row>
    <row r="94" spans="1:12">
      <c r="A94" s="9" t="s">
        <v>93</v>
      </c>
      <c r="B94" s="9" t="s">
        <v>94</v>
      </c>
      <c r="C94" s="15" t="s">
        <v>157</v>
      </c>
      <c r="D94" s="9" t="s">
        <v>158</v>
      </c>
      <c r="E94" s="8" t="s">
        <v>143</v>
      </c>
      <c r="F94" s="9">
        <v>0</v>
      </c>
      <c r="G94" s="9">
        <v>0</v>
      </c>
      <c r="H94" s="9">
        <v>30</v>
      </c>
      <c r="I94" s="9">
        <v>30</v>
      </c>
      <c r="J94" s="9">
        <v>0</v>
      </c>
      <c r="K94" s="9">
        <v>0</v>
      </c>
      <c r="L94" s="9" t="s">
        <v>210</v>
      </c>
    </row>
    <row r="95" spans="1:12" ht="30">
      <c r="A95" s="4" t="s">
        <v>95</v>
      </c>
      <c r="B95" s="4" t="s">
        <v>96</v>
      </c>
      <c r="C95" s="14" t="s">
        <v>157</v>
      </c>
      <c r="D95" s="4" t="s">
        <v>158</v>
      </c>
      <c r="E95" s="3" t="s">
        <v>143</v>
      </c>
      <c r="F95" s="4">
        <v>30</v>
      </c>
      <c r="G95" s="4">
        <v>30</v>
      </c>
      <c r="H95" s="4">
        <v>-30</v>
      </c>
      <c r="I95" s="4">
        <v>30</v>
      </c>
      <c r="J95" s="4">
        <v>0</v>
      </c>
      <c r="K95" s="4">
        <v>0</v>
      </c>
      <c r="L95" s="4" t="s">
        <v>161</v>
      </c>
    </row>
    <row r="96" spans="1:12" ht="30">
      <c r="A96" s="4" t="s">
        <v>95</v>
      </c>
      <c r="B96" s="4" t="s">
        <v>96</v>
      </c>
      <c r="C96" s="14" t="s">
        <v>157</v>
      </c>
      <c r="D96" s="4" t="s">
        <v>158</v>
      </c>
      <c r="E96" s="3" t="s">
        <v>143</v>
      </c>
      <c r="F96" s="4">
        <v>0</v>
      </c>
      <c r="G96" s="4">
        <v>0</v>
      </c>
      <c r="H96" s="4">
        <v>30</v>
      </c>
      <c r="I96" s="4">
        <v>60</v>
      </c>
      <c r="J96" s="4">
        <v>0</v>
      </c>
      <c r="K96" s="4">
        <v>0</v>
      </c>
      <c r="L96" s="4" t="s">
        <v>170</v>
      </c>
    </row>
    <row r="97" spans="1:12" ht="30">
      <c r="A97" s="4" t="s">
        <v>95</v>
      </c>
      <c r="B97" s="4" t="s">
        <v>96</v>
      </c>
      <c r="C97" s="14" t="s">
        <v>157</v>
      </c>
      <c r="D97" s="4" t="s">
        <v>158</v>
      </c>
      <c r="E97" s="3" t="s">
        <v>143</v>
      </c>
      <c r="F97" s="4">
        <v>0</v>
      </c>
      <c r="G97" s="4">
        <v>0</v>
      </c>
      <c r="H97" s="4">
        <v>30</v>
      </c>
      <c r="I97" s="4">
        <v>30</v>
      </c>
      <c r="J97" s="4">
        <v>0</v>
      </c>
      <c r="K97" s="4">
        <v>0</v>
      </c>
      <c r="L97" s="4" t="s">
        <v>209</v>
      </c>
    </row>
    <row r="98" spans="1:12">
      <c r="A98" s="9" t="s">
        <v>97</v>
      </c>
      <c r="B98" s="9" t="s">
        <v>98</v>
      </c>
      <c r="C98" s="15" t="s">
        <v>157</v>
      </c>
      <c r="D98" s="9" t="s">
        <v>158</v>
      </c>
      <c r="E98" s="8" t="s">
        <v>143</v>
      </c>
      <c r="F98" s="9">
        <v>48</v>
      </c>
      <c r="G98" s="9">
        <v>48</v>
      </c>
      <c r="H98" s="9">
        <v>-48</v>
      </c>
      <c r="I98" s="9">
        <v>48</v>
      </c>
      <c r="J98" s="9">
        <v>0</v>
      </c>
      <c r="K98" s="9">
        <v>0</v>
      </c>
      <c r="L98" s="9" t="s">
        <v>161</v>
      </c>
    </row>
    <row r="99" spans="1:12">
      <c r="A99" s="9" t="s">
        <v>97</v>
      </c>
      <c r="B99" s="9" t="s">
        <v>98</v>
      </c>
      <c r="C99" s="15" t="s">
        <v>157</v>
      </c>
      <c r="D99" s="9" t="s">
        <v>158</v>
      </c>
      <c r="E99" s="8" t="s">
        <v>143</v>
      </c>
      <c r="F99" s="9">
        <v>0</v>
      </c>
      <c r="G99" s="9">
        <v>0</v>
      </c>
      <c r="H99" s="9">
        <v>48</v>
      </c>
      <c r="I99" s="9">
        <v>96</v>
      </c>
      <c r="J99" s="9">
        <v>0</v>
      </c>
      <c r="K99" s="9">
        <v>0</v>
      </c>
      <c r="L99" s="9" t="s">
        <v>170</v>
      </c>
    </row>
    <row r="100" spans="1:12">
      <c r="A100" s="9" t="s">
        <v>97</v>
      </c>
      <c r="B100" s="9" t="s">
        <v>98</v>
      </c>
      <c r="C100" s="15" t="s">
        <v>157</v>
      </c>
      <c r="D100" s="9" t="s">
        <v>158</v>
      </c>
      <c r="E100" s="8" t="s">
        <v>143</v>
      </c>
      <c r="F100" s="9">
        <v>0</v>
      </c>
      <c r="G100" s="9">
        <v>0</v>
      </c>
      <c r="H100" s="9">
        <v>48</v>
      </c>
      <c r="I100" s="9">
        <v>48</v>
      </c>
      <c r="J100" s="9">
        <v>0</v>
      </c>
      <c r="K100" s="9">
        <v>0</v>
      </c>
      <c r="L100" s="9" t="s">
        <v>208</v>
      </c>
    </row>
    <row r="101" spans="1:12">
      <c r="A101" s="9" t="s">
        <v>99</v>
      </c>
      <c r="B101" s="9" t="s">
        <v>100</v>
      </c>
      <c r="C101" s="15" t="s">
        <v>157</v>
      </c>
      <c r="D101" s="9" t="s">
        <v>158</v>
      </c>
      <c r="E101" s="8" t="s">
        <v>143</v>
      </c>
      <c r="F101" s="9">
        <v>30</v>
      </c>
      <c r="G101" s="9">
        <v>30</v>
      </c>
      <c r="H101" s="9">
        <v>-30</v>
      </c>
      <c r="I101" s="9">
        <v>30</v>
      </c>
      <c r="J101" s="9">
        <v>0</v>
      </c>
      <c r="K101" s="9">
        <v>0</v>
      </c>
      <c r="L101" s="9" t="s">
        <v>161</v>
      </c>
    </row>
    <row r="102" spans="1:12">
      <c r="A102" s="4" t="s">
        <v>99</v>
      </c>
      <c r="B102" s="4" t="s">
        <v>100</v>
      </c>
      <c r="C102" s="14" t="s">
        <v>157</v>
      </c>
      <c r="D102" s="4" t="s">
        <v>158</v>
      </c>
      <c r="E102" s="3" t="s">
        <v>143</v>
      </c>
      <c r="F102" s="4">
        <v>0</v>
      </c>
      <c r="G102" s="4">
        <v>0</v>
      </c>
      <c r="H102" s="4">
        <v>30</v>
      </c>
      <c r="I102" s="4">
        <v>60</v>
      </c>
      <c r="J102" s="4">
        <v>0</v>
      </c>
      <c r="K102" s="4">
        <v>0</v>
      </c>
      <c r="L102" s="4" t="s">
        <v>169</v>
      </c>
    </row>
    <row r="103" spans="1:12">
      <c r="A103" s="4" t="s">
        <v>99</v>
      </c>
      <c r="B103" s="4" t="s">
        <v>100</v>
      </c>
      <c r="C103" s="14" t="s">
        <v>157</v>
      </c>
      <c r="D103" s="4" t="s">
        <v>158</v>
      </c>
      <c r="E103" s="3" t="s">
        <v>143</v>
      </c>
      <c r="F103" s="4">
        <v>0</v>
      </c>
      <c r="G103" s="4">
        <v>0</v>
      </c>
      <c r="H103" s="4">
        <v>30</v>
      </c>
      <c r="I103" s="4">
        <v>30</v>
      </c>
      <c r="J103" s="4">
        <v>0</v>
      </c>
      <c r="K103" s="4">
        <v>0</v>
      </c>
      <c r="L103" s="4" t="s">
        <v>207</v>
      </c>
    </row>
    <row r="104" spans="1:12">
      <c r="A104" s="4" t="s">
        <v>101</v>
      </c>
      <c r="B104" s="4" t="s">
        <v>102</v>
      </c>
      <c r="C104" s="14" t="s">
        <v>157</v>
      </c>
      <c r="D104" s="4" t="s">
        <v>158</v>
      </c>
      <c r="E104" s="3" t="s">
        <v>143</v>
      </c>
      <c r="F104" s="4">
        <v>30</v>
      </c>
      <c r="G104" s="4">
        <v>30</v>
      </c>
      <c r="H104" s="4">
        <v>-30</v>
      </c>
      <c r="I104" s="4">
        <v>30</v>
      </c>
      <c r="J104" s="4">
        <v>0</v>
      </c>
      <c r="K104" s="4">
        <v>0</v>
      </c>
      <c r="L104" s="4" t="s">
        <v>161</v>
      </c>
    </row>
    <row r="105" spans="1:12">
      <c r="A105" s="9" t="s">
        <v>101</v>
      </c>
      <c r="B105" s="9" t="s">
        <v>102</v>
      </c>
      <c r="C105" s="15" t="s">
        <v>157</v>
      </c>
      <c r="D105" s="9" t="s">
        <v>158</v>
      </c>
      <c r="E105" s="8" t="s">
        <v>143</v>
      </c>
      <c r="F105" s="9">
        <v>0</v>
      </c>
      <c r="G105" s="9">
        <v>0</v>
      </c>
      <c r="H105" s="9">
        <v>30</v>
      </c>
      <c r="I105" s="9">
        <v>60</v>
      </c>
      <c r="J105" s="9">
        <v>0</v>
      </c>
      <c r="K105" s="9">
        <v>0</v>
      </c>
      <c r="L105" s="9" t="s">
        <v>169</v>
      </c>
    </row>
    <row r="106" spans="1:12">
      <c r="A106" s="9" t="s">
        <v>101</v>
      </c>
      <c r="B106" s="9" t="s">
        <v>102</v>
      </c>
      <c r="C106" s="15" t="s">
        <v>157</v>
      </c>
      <c r="D106" s="9" t="s">
        <v>158</v>
      </c>
      <c r="E106" s="8" t="s">
        <v>143</v>
      </c>
      <c r="F106" s="9">
        <v>0</v>
      </c>
      <c r="G106" s="9">
        <v>0</v>
      </c>
      <c r="H106" s="9">
        <v>30</v>
      </c>
      <c r="I106" s="9">
        <v>30</v>
      </c>
      <c r="J106" s="9">
        <v>0</v>
      </c>
      <c r="K106" s="9">
        <v>0</v>
      </c>
      <c r="L106" s="9" t="s">
        <v>206</v>
      </c>
    </row>
    <row r="107" spans="1:12">
      <c r="A107" s="9" t="s">
        <v>103</v>
      </c>
      <c r="B107" s="9" t="s">
        <v>104</v>
      </c>
      <c r="C107" s="15" t="s">
        <v>157</v>
      </c>
      <c r="D107" s="9" t="s">
        <v>158</v>
      </c>
      <c r="E107" s="8" t="s">
        <v>143</v>
      </c>
      <c r="F107" s="9">
        <v>30</v>
      </c>
      <c r="G107" s="9">
        <v>30</v>
      </c>
      <c r="H107" s="9">
        <v>-30</v>
      </c>
      <c r="I107" s="9">
        <v>30</v>
      </c>
      <c r="J107" s="9">
        <v>0</v>
      </c>
      <c r="K107" s="9">
        <v>0</v>
      </c>
      <c r="L107" s="9" t="s">
        <v>161</v>
      </c>
    </row>
    <row r="108" spans="1:12">
      <c r="A108" s="4" t="s">
        <v>103</v>
      </c>
      <c r="B108" s="4" t="s">
        <v>104</v>
      </c>
      <c r="C108" s="14" t="s">
        <v>157</v>
      </c>
      <c r="D108" s="4" t="s">
        <v>158</v>
      </c>
      <c r="E108" s="3" t="s">
        <v>143</v>
      </c>
      <c r="F108" s="4">
        <v>0</v>
      </c>
      <c r="G108" s="4">
        <v>0</v>
      </c>
      <c r="H108" s="4">
        <v>30</v>
      </c>
      <c r="I108" s="4">
        <v>60</v>
      </c>
      <c r="J108" s="4">
        <v>0</v>
      </c>
      <c r="K108" s="4">
        <v>0</v>
      </c>
      <c r="L108" s="4" t="s">
        <v>169</v>
      </c>
    </row>
    <row r="109" spans="1:12">
      <c r="A109" s="4" t="s">
        <v>103</v>
      </c>
      <c r="B109" s="4" t="s">
        <v>104</v>
      </c>
      <c r="C109" s="14" t="s">
        <v>157</v>
      </c>
      <c r="D109" s="4" t="s">
        <v>158</v>
      </c>
      <c r="E109" s="3" t="s">
        <v>143</v>
      </c>
      <c r="F109" s="4">
        <v>0</v>
      </c>
      <c r="G109" s="4">
        <v>0</v>
      </c>
      <c r="H109" s="4">
        <v>30</v>
      </c>
      <c r="I109" s="4">
        <v>30</v>
      </c>
      <c r="J109" s="4">
        <v>0</v>
      </c>
      <c r="K109" s="4">
        <v>0</v>
      </c>
      <c r="L109" s="4" t="s">
        <v>205</v>
      </c>
    </row>
    <row r="110" spans="1:12">
      <c r="A110" s="9" t="s">
        <v>105</v>
      </c>
      <c r="B110" s="9" t="s">
        <v>106</v>
      </c>
      <c r="C110" s="15" t="s">
        <v>157</v>
      </c>
      <c r="D110" s="9" t="s">
        <v>158</v>
      </c>
      <c r="E110" s="8" t="s">
        <v>143</v>
      </c>
      <c r="F110" s="9">
        <v>30</v>
      </c>
      <c r="G110" s="9">
        <v>30</v>
      </c>
      <c r="H110" s="9">
        <v>-30</v>
      </c>
      <c r="I110" s="9">
        <v>30</v>
      </c>
      <c r="J110" s="9">
        <v>0</v>
      </c>
      <c r="K110" s="9">
        <v>0</v>
      </c>
      <c r="L110" s="9" t="s">
        <v>159</v>
      </c>
    </row>
    <row r="111" spans="1:12">
      <c r="A111" s="9" t="s">
        <v>105</v>
      </c>
      <c r="B111" s="9" t="s">
        <v>106</v>
      </c>
      <c r="C111" s="15" t="s">
        <v>157</v>
      </c>
      <c r="D111" s="9" t="s">
        <v>158</v>
      </c>
      <c r="E111" s="8" t="s">
        <v>143</v>
      </c>
      <c r="F111" s="9">
        <v>0</v>
      </c>
      <c r="G111" s="9">
        <v>0</v>
      </c>
      <c r="H111" s="9">
        <v>30</v>
      </c>
      <c r="I111" s="9">
        <v>60</v>
      </c>
      <c r="J111" s="9">
        <v>0</v>
      </c>
      <c r="K111" s="9">
        <v>0</v>
      </c>
      <c r="L111" s="9" t="s">
        <v>168</v>
      </c>
    </row>
    <row r="112" spans="1:12">
      <c r="A112" s="9" t="s">
        <v>105</v>
      </c>
      <c r="B112" s="9" t="s">
        <v>106</v>
      </c>
      <c r="C112" s="15" t="s">
        <v>157</v>
      </c>
      <c r="D112" s="9" t="s">
        <v>158</v>
      </c>
      <c r="E112" s="8" t="s">
        <v>143</v>
      </c>
      <c r="F112" s="9">
        <v>0</v>
      </c>
      <c r="G112" s="9">
        <v>0</v>
      </c>
      <c r="H112" s="9">
        <v>30</v>
      </c>
      <c r="I112" s="9">
        <v>30</v>
      </c>
      <c r="J112" s="9">
        <v>0</v>
      </c>
      <c r="K112" s="9">
        <v>0</v>
      </c>
      <c r="L112" s="9" t="s">
        <v>205</v>
      </c>
    </row>
    <row r="113" spans="1:12">
      <c r="A113" s="9" t="s">
        <v>107</v>
      </c>
      <c r="B113" s="9" t="s">
        <v>108</v>
      </c>
      <c r="C113" s="15" t="s">
        <v>157</v>
      </c>
      <c r="D113" s="9" t="s">
        <v>158</v>
      </c>
      <c r="E113" s="8" t="s">
        <v>143</v>
      </c>
      <c r="F113" s="9">
        <v>10</v>
      </c>
      <c r="G113" s="9">
        <v>10</v>
      </c>
      <c r="H113" s="9">
        <v>-10</v>
      </c>
      <c r="I113" s="9">
        <v>10</v>
      </c>
      <c r="J113" s="9">
        <v>0</v>
      </c>
      <c r="K113" s="9">
        <v>0</v>
      </c>
      <c r="L113" s="9" t="s">
        <v>159</v>
      </c>
    </row>
    <row r="114" spans="1:12">
      <c r="A114" s="4" t="s">
        <v>107</v>
      </c>
      <c r="B114" s="4" t="s">
        <v>108</v>
      </c>
      <c r="C114" s="14" t="s">
        <v>157</v>
      </c>
      <c r="D114" s="4" t="s">
        <v>158</v>
      </c>
      <c r="E114" s="3" t="s">
        <v>143</v>
      </c>
      <c r="F114" s="4">
        <v>0</v>
      </c>
      <c r="G114" s="4">
        <v>0</v>
      </c>
      <c r="H114" s="4">
        <v>10</v>
      </c>
      <c r="I114" s="4">
        <v>20</v>
      </c>
      <c r="J114" s="4">
        <v>0</v>
      </c>
      <c r="K114" s="4">
        <v>0</v>
      </c>
      <c r="L114" s="4" t="s">
        <v>168</v>
      </c>
    </row>
    <row r="115" spans="1:12">
      <c r="A115" s="4" t="s">
        <v>107</v>
      </c>
      <c r="B115" s="4" t="s">
        <v>108</v>
      </c>
      <c r="C115" s="14" t="s">
        <v>157</v>
      </c>
      <c r="D115" s="4" t="s">
        <v>158</v>
      </c>
      <c r="E115" s="3" t="s">
        <v>143</v>
      </c>
      <c r="F115" s="4">
        <v>0</v>
      </c>
      <c r="G115" s="4">
        <v>0</v>
      </c>
      <c r="H115" s="4">
        <v>10</v>
      </c>
      <c r="I115" s="4">
        <v>10</v>
      </c>
      <c r="J115" s="4">
        <v>0</v>
      </c>
      <c r="K115" s="4">
        <v>0</v>
      </c>
      <c r="L115" s="4" t="s">
        <v>204</v>
      </c>
    </row>
    <row r="116" spans="1:12">
      <c r="A116" s="4" t="s">
        <v>109</v>
      </c>
      <c r="B116" s="4" t="s">
        <v>110</v>
      </c>
      <c r="C116" s="14" t="s">
        <v>157</v>
      </c>
      <c r="D116" s="4" t="s">
        <v>158</v>
      </c>
      <c r="E116" s="3" t="s">
        <v>143</v>
      </c>
      <c r="F116" s="4">
        <v>24</v>
      </c>
      <c r="G116" s="4">
        <v>24</v>
      </c>
      <c r="H116" s="4">
        <v>-24</v>
      </c>
      <c r="I116" s="4">
        <v>24</v>
      </c>
      <c r="J116" s="4">
        <v>0</v>
      </c>
      <c r="K116" s="4">
        <v>0</v>
      </c>
      <c r="L116" s="4" t="s">
        <v>159</v>
      </c>
    </row>
    <row r="117" spans="1:12">
      <c r="A117" s="9" t="s">
        <v>109</v>
      </c>
      <c r="B117" s="9" t="s">
        <v>110</v>
      </c>
      <c r="C117" s="15" t="s">
        <v>157</v>
      </c>
      <c r="D117" s="9" t="s">
        <v>158</v>
      </c>
      <c r="E117" s="8" t="s">
        <v>143</v>
      </c>
      <c r="F117" s="9">
        <v>0</v>
      </c>
      <c r="G117" s="9">
        <v>0</v>
      </c>
      <c r="H117" s="9">
        <v>24</v>
      </c>
      <c r="I117" s="9">
        <v>48</v>
      </c>
      <c r="J117" s="9">
        <v>0</v>
      </c>
      <c r="K117" s="9">
        <v>0</v>
      </c>
      <c r="L117" s="9" t="s">
        <v>168</v>
      </c>
    </row>
    <row r="118" spans="1:12">
      <c r="A118" s="9" t="s">
        <v>109</v>
      </c>
      <c r="B118" s="9" t="s">
        <v>110</v>
      </c>
      <c r="C118" s="15" t="s">
        <v>157</v>
      </c>
      <c r="D118" s="9" t="s">
        <v>158</v>
      </c>
      <c r="E118" s="8" t="s">
        <v>143</v>
      </c>
      <c r="F118" s="9">
        <v>0</v>
      </c>
      <c r="G118" s="9">
        <v>0</v>
      </c>
      <c r="H118" s="9">
        <v>24</v>
      </c>
      <c r="I118" s="9">
        <v>24</v>
      </c>
      <c r="J118" s="9">
        <v>0</v>
      </c>
      <c r="K118" s="9">
        <v>0</v>
      </c>
      <c r="L118" s="9" t="s">
        <v>203</v>
      </c>
    </row>
    <row r="119" spans="1:12">
      <c r="A119" s="4" t="s">
        <v>111</v>
      </c>
      <c r="B119" s="4" t="s">
        <v>112</v>
      </c>
      <c r="C119" s="14" t="s">
        <v>157</v>
      </c>
      <c r="D119" s="4" t="s">
        <v>158</v>
      </c>
      <c r="E119" s="3" t="s">
        <v>143</v>
      </c>
      <c r="F119" s="4">
        <v>12</v>
      </c>
      <c r="G119" s="4">
        <v>12</v>
      </c>
      <c r="H119" s="4">
        <v>-12</v>
      </c>
      <c r="I119" s="4">
        <v>12</v>
      </c>
      <c r="J119" s="4">
        <v>0</v>
      </c>
      <c r="K119" s="4">
        <v>0</v>
      </c>
      <c r="L119" s="4" t="s">
        <v>159</v>
      </c>
    </row>
    <row r="120" spans="1:12">
      <c r="A120" s="4" t="s">
        <v>111</v>
      </c>
      <c r="B120" s="4" t="s">
        <v>112</v>
      </c>
      <c r="C120" s="14" t="s">
        <v>157</v>
      </c>
      <c r="D120" s="4" t="s">
        <v>158</v>
      </c>
      <c r="E120" s="3" t="s">
        <v>143</v>
      </c>
      <c r="F120" s="4">
        <v>0</v>
      </c>
      <c r="G120" s="4">
        <v>0</v>
      </c>
      <c r="H120" s="4">
        <v>12</v>
      </c>
      <c r="I120" s="4">
        <v>24</v>
      </c>
      <c r="J120" s="4">
        <v>0</v>
      </c>
      <c r="K120" s="4">
        <v>0</v>
      </c>
      <c r="L120" s="4" t="s">
        <v>167</v>
      </c>
    </row>
    <row r="121" spans="1:12">
      <c r="A121" s="4" t="s">
        <v>111</v>
      </c>
      <c r="B121" s="4" t="s">
        <v>112</v>
      </c>
      <c r="C121" s="14" t="s">
        <v>157</v>
      </c>
      <c r="D121" s="4" t="s">
        <v>158</v>
      </c>
      <c r="E121" s="3" t="s">
        <v>143</v>
      </c>
      <c r="F121" s="4">
        <v>0</v>
      </c>
      <c r="G121" s="4">
        <v>0</v>
      </c>
      <c r="H121" s="4">
        <v>12</v>
      </c>
      <c r="I121" s="4">
        <v>12</v>
      </c>
      <c r="J121" s="4">
        <v>0</v>
      </c>
      <c r="K121" s="4">
        <v>0</v>
      </c>
      <c r="L121" s="4" t="s">
        <v>202</v>
      </c>
    </row>
    <row r="122" spans="1:12">
      <c r="A122" s="9" t="s">
        <v>113</v>
      </c>
      <c r="B122" s="9" t="s">
        <v>114</v>
      </c>
      <c r="C122" s="15" t="s">
        <v>157</v>
      </c>
      <c r="D122" s="9" t="s">
        <v>158</v>
      </c>
      <c r="E122" s="8" t="s">
        <v>143</v>
      </c>
      <c r="F122" s="9">
        <v>24</v>
      </c>
      <c r="G122" s="9">
        <v>24</v>
      </c>
      <c r="H122" s="9">
        <v>-24</v>
      </c>
      <c r="I122" s="9">
        <v>24</v>
      </c>
      <c r="J122" s="9">
        <v>0</v>
      </c>
      <c r="K122" s="9">
        <v>0</v>
      </c>
      <c r="L122" s="9" t="s">
        <v>159</v>
      </c>
    </row>
    <row r="123" spans="1:12">
      <c r="A123" s="9" t="s">
        <v>113</v>
      </c>
      <c r="B123" s="9" t="s">
        <v>114</v>
      </c>
      <c r="C123" s="15" t="s">
        <v>157</v>
      </c>
      <c r="D123" s="9" t="s">
        <v>158</v>
      </c>
      <c r="E123" s="8" t="s">
        <v>143</v>
      </c>
      <c r="F123" s="9">
        <v>0</v>
      </c>
      <c r="G123" s="9">
        <v>0</v>
      </c>
      <c r="H123" s="9">
        <v>24</v>
      </c>
      <c r="I123" s="9">
        <v>48</v>
      </c>
      <c r="J123" s="9">
        <v>0</v>
      </c>
      <c r="K123" s="9">
        <v>0</v>
      </c>
      <c r="L123" s="9" t="s">
        <v>167</v>
      </c>
    </row>
    <row r="124" spans="1:12">
      <c r="A124" s="9" t="s">
        <v>113</v>
      </c>
      <c r="B124" s="9" t="s">
        <v>114</v>
      </c>
      <c r="C124" s="15" t="s">
        <v>157</v>
      </c>
      <c r="D124" s="9" t="s">
        <v>158</v>
      </c>
      <c r="E124" s="8" t="s">
        <v>143</v>
      </c>
      <c r="F124" s="9">
        <v>0</v>
      </c>
      <c r="G124" s="9">
        <v>0</v>
      </c>
      <c r="H124" s="9">
        <v>24</v>
      </c>
      <c r="I124" s="9">
        <v>24</v>
      </c>
      <c r="J124" s="9">
        <v>0</v>
      </c>
      <c r="K124" s="9">
        <v>0</v>
      </c>
      <c r="L124" s="9" t="s">
        <v>201</v>
      </c>
    </row>
    <row r="125" spans="1:12">
      <c r="A125" s="4" t="s">
        <v>115</v>
      </c>
      <c r="B125" s="4" t="s">
        <v>116</v>
      </c>
      <c r="C125" s="14" t="s">
        <v>157</v>
      </c>
      <c r="D125" s="4" t="s">
        <v>158</v>
      </c>
      <c r="E125" s="3" t="s">
        <v>143</v>
      </c>
      <c r="F125" s="4">
        <v>12</v>
      </c>
      <c r="G125" s="4">
        <v>12</v>
      </c>
      <c r="H125" s="4">
        <v>-12</v>
      </c>
      <c r="I125" s="4">
        <v>12</v>
      </c>
      <c r="J125" s="4">
        <v>0</v>
      </c>
      <c r="K125" s="4">
        <v>0</v>
      </c>
      <c r="L125" s="4" t="s">
        <v>160</v>
      </c>
    </row>
    <row r="126" spans="1:12">
      <c r="A126" s="4" t="s">
        <v>115</v>
      </c>
      <c r="B126" s="4" t="s">
        <v>116</v>
      </c>
      <c r="C126" s="14" t="s">
        <v>157</v>
      </c>
      <c r="D126" s="4" t="s">
        <v>158</v>
      </c>
      <c r="E126" s="3" t="s">
        <v>143</v>
      </c>
      <c r="F126" s="4">
        <v>0</v>
      </c>
      <c r="G126" s="4">
        <v>0</v>
      </c>
      <c r="H126" s="4">
        <v>12</v>
      </c>
      <c r="I126" s="4">
        <v>24</v>
      </c>
      <c r="J126" s="4">
        <v>0</v>
      </c>
      <c r="K126" s="4">
        <v>0</v>
      </c>
      <c r="L126" s="4" t="s">
        <v>167</v>
      </c>
    </row>
    <row r="127" spans="1:12">
      <c r="A127" s="4" t="s">
        <v>115</v>
      </c>
      <c r="B127" s="4" t="s">
        <v>116</v>
      </c>
      <c r="C127" s="14" t="s">
        <v>157</v>
      </c>
      <c r="D127" s="4" t="s">
        <v>158</v>
      </c>
      <c r="E127" s="3" t="s">
        <v>143</v>
      </c>
      <c r="F127" s="4">
        <v>0</v>
      </c>
      <c r="G127" s="4">
        <v>0</v>
      </c>
      <c r="H127" s="4">
        <v>12</v>
      </c>
      <c r="I127" s="4">
        <v>12</v>
      </c>
      <c r="J127" s="4">
        <v>0</v>
      </c>
      <c r="K127" s="4">
        <v>0</v>
      </c>
      <c r="L127" s="4" t="s">
        <v>200</v>
      </c>
    </row>
    <row r="128" spans="1:12">
      <c r="A128" s="9" t="s">
        <v>117</v>
      </c>
      <c r="B128" s="9" t="s">
        <v>118</v>
      </c>
      <c r="C128" s="15" t="s">
        <v>157</v>
      </c>
      <c r="D128" s="9" t="s">
        <v>158</v>
      </c>
      <c r="E128" s="8" t="s">
        <v>143</v>
      </c>
      <c r="F128" s="9">
        <v>12</v>
      </c>
      <c r="G128" s="9">
        <v>12</v>
      </c>
      <c r="H128" s="9">
        <v>-12</v>
      </c>
      <c r="I128" s="9">
        <v>12</v>
      </c>
      <c r="J128" s="9">
        <v>0</v>
      </c>
      <c r="K128" s="9">
        <v>0</v>
      </c>
      <c r="L128" s="9" t="s">
        <v>160</v>
      </c>
    </row>
    <row r="129" spans="1:12">
      <c r="A129" s="9" t="s">
        <v>117</v>
      </c>
      <c r="B129" s="9" t="s">
        <v>118</v>
      </c>
      <c r="C129" s="15" t="s">
        <v>157</v>
      </c>
      <c r="D129" s="9" t="s">
        <v>158</v>
      </c>
      <c r="E129" s="8" t="s">
        <v>143</v>
      </c>
      <c r="F129" s="9">
        <v>0</v>
      </c>
      <c r="G129" s="9">
        <v>0</v>
      </c>
      <c r="H129" s="9">
        <v>12</v>
      </c>
      <c r="I129" s="9">
        <v>24</v>
      </c>
      <c r="J129" s="9">
        <v>0</v>
      </c>
      <c r="K129" s="9">
        <v>0</v>
      </c>
      <c r="L129" s="9" t="s">
        <v>166</v>
      </c>
    </row>
    <row r="130" spans="1:12">
      <c r="A130" s="9" t="s">
        <v>117</v>
      </c>
      <c r="B130" s="9" t="s">
        <v>118</v>
      </c>
      <c r="C130" s="15" t="s">
        <v>157</v>
      </c>
      <c r="D130" s="9" t="s">
        <v>158</v>
      </c>
      <c r="E130" s="8" t="s">
        <v>143</v>
      </c>
      <c r="F130" s="9">
        <v>0</v>
      </c>
      <c r="G130" s="9">
        <v>0</v>
      </c>
      <c r="H130" s="9">
        <v>12</v>
      </c>
      <c r="I130" s="9">
        <v>12</v>
      </c>
      <c r="J130" s="9">
        <v>0</v>
      </c>
      <c r="K130" s="9">
        <v>0</v>
      </c>
      <c r="L130" s="9" t="s">
        <v>199</v>
      </c>
    </row>
    <row r="131" spans="1:12">
      <c r="A131" s="9" t="s">
        <v>119</v>
      </c>
      <c r="B131" s="9" t="s">
        <v>120</v>
      </c>
      <c r="C131" s="15" t="s">
        <v>157</v>
      </c>
      <c r="D131" s="9" t="s">
        <v>158</v>
      </c>
      <c r="E131" s="8" t="s">
        <v>143</v>
      </c>
      <c r="F131" s="9">
        <v>12</v>
      </c>
      <c r="G131" s="9">
        <v>12</v>
      </c>
      <c r="H131" s="9">
        <v>-12</v>
      </c>
      <c r="I131" s="9">
        <v>12</v>
      </c>
      <c r="J131" s="9">
        <v>0</v>
      </c>
      <c r="K131" s="9">
        <v>0</v>
      </c>
      <c r="L131" s="9" t="s">
        <v>159</v>
      </c>
    </row>
    <row r="132" spans="1:12">
      <c r="A132" s="4" t="s">
        <v>119</v>
      </c>
      <c r="B132" s="4" t="s">
        <v>120</v>
      </c>
      <c r="C132" s="14" t="s">
        <v>157</v>
      </c>
      <c r="D132" s="4" t="s">
        <v>158</v>
      </c>
      <c r="E132" s="3" t="s">
        <v>143</v>
      </c>
      <c r="F132" s="4">
        <v>0</v>
      </c>
      <c r="G132" s="4">
        <v>0</v>
      </c>
      <c r="H132" s="4">
        <v>12</v>
      </c>
      <c r="I132" s="4">
        <v>24</v>
      </c>
      <c r="J132" s="4">
        <v>0</v>
      </c>
      <c r="K132" s="4">
        <v>0</v>
      </c>
      <c r="L132" s="4" t="s">
        <v>166</v>
      </c>
    </row>
    <row r="133" spans="1:12">
      <c r="A133" s="4" t="s">
        <v>119</v>
      </c>
      <c r="B133" s="4" t="s">
        <v>120</v>
      </c>
      <c r="C133" s="14" t="s">
        <v>157</v>
      </c>
      <c r="D133" s="4" t="s">
        <v>158</v>
      </c>
      <c r="E133" s="3" t="s">
        <v>143</v>
      </c>
      <c r="F133" s="4">
        <v>0</v>
      </c>
      <c r="G133" s="4">
        <v>0</v>
      </c>
      <c r="H133" s="4">
        <v>12</v>
      </c>
      <c r="I133" s="4">
        <v>12</v>
      </c>
      <c r="J133" s="4">
        <v>0</v>
      </c>
      <c r="K133" s="4">
        <v>0</v>
      </c>
      <c r="L133" s="4" t="s">
        <v>198</v>
      </c>
    </row>
    <row r="134" spans="1:12" ht="30">
      <c r="A134" s="9" t="s">
        <v>39</v>
      </c>
      <c r="B134" s="9" t="s">
        <v>40</v>
      </c>
      <c r="C134" s="15" t="s">
        <v>157</v>
      </c>
      <c r="D134" s="9" t="s">
        <v>158</v>
      </c>
      <c r="E134" s="8" t="s">
        <v>143</v>
      </c>
      <c r="F134" s="9">
        <v>20</v>
      </c>
      <c r="G134" s="9">
        <v>20</v>
      </c>
      <c r="H134" s="9">
        <v>-20</v>
      </c>
      <c r="I134" s="9">
        <v>20</v>
      </c>
      <c r="J134" s="9">
        <v>0</v>
      </c>
      <c r="K134" s="9">
        <v>0</v>
      </c>
      <c r="L134" s="9" t="s">
        <v>160</v>
      </c>
    </row>
    <row r="135" spans="1:12" ht="30">
      <c r="A135" s="4" t="s">
        <v>39</v>
      </c>
      <c r="B135" s="4" t="s">
        <v>40</v>
      </c>
      <c r="C135" s="14" t="s">
        <v>157</v>
      </c>
      <c r="D135" s="4" t="s">
        <v>158</v>
      </c>
      <c r="E135" s="3" t="s">
        <v>143</v>
      </c>
      <c r="F135" s="4">
        <v>0</v>
      </c>
      <c r="G135" s="4">
        <v>0</v>
      </c>
      <c r="H135" s="4">
        <v>20</v>
      </c>
      <c r="I135" s="4">
        <v>40</v>
      </c>
      <c r="J135" s="4">
        <v>0</v>
      </c>
      <c r="K135" s="4">
        <v>0</v>
      </c>
      <c r="L135" s="4" t="s">
        <v>185</v>
      </c>
    </row>
    <row r="136" spans="1:12" ht="30">
      <c r="A136" s="4" t="s">
        <v>39</v>
      </c>
      <c r="B136" s="4" t="s">
        <v>40</v>
      </c>
      <c r="C136" s="14" t="s">
        <v>157</v>
      </c>
      <c r="D136" s="4" t="s">
        <v>158</v>
      </c>
      <c r="E136" s="3" t="s">
        <v>143</v>
      </c>
      <c r="F136" s="4">
        <v>0</v>
      </c>
      <c r="G136" s="4">
        <v>0</v>
      </c>
      <c r="H136" s="4">
        <v>20</v>
      </c>
      <c r="I136" s="4">
        <v>20</v>
      </c>
      <c r="J136" s="4">
        <v>0</v>
      </c>
      <c r="K136" s="4">
        <v>0</v>
      </c>
      <c r="L136" s="4" t="s">
        <v>234</v>
      </c>
    </row>
    <row r="137" spans="1:12">
      <c r="A137" s="4" t="s">
        <v>41</v>
      </c>
      <c r="B137" s="4" t="s">
        <v>42</v>
      </c>
      <c r="C137" s="14" t="s">
        <v>157</v>
      </c>
      <c r="D137" s="4" t="s">
        <v>158</v>
      </c>
      <c r="E137" s="3" t="s">
        <v>143</v>
      </c>
      <c r="F137" s="4">
        <v>24</v>
      </c>
      <c r="G137" s="4">
        <v>24</v>
      </c>
      <c r="H137" s="4">
        <v>-24</v>
      </c>
      <c r="I137" s="4">
        <v>24</v>
      </c>
      <c r="J137" s="4">
        <v>0</v>
      </c>
      <c r="K137" s="4">
        <v>0</v>
      </c>
      <c r="L137" s="4" t="s">
        <v>159</v>
      </c>
    </row>
    <row r="138" spans="1:12">
      <c r="A138" s="9" t="s">
        <v>41</v>
      </c>
      <c r="B138" s="9" t="s">
        <v>42</v>
      </c>
      <c r="C138" s="15" t="s">
        <v>157</v>
      </c>
      <c r="D138" s="9" t="s">
        <v>158</v>
      </c>
      <c r="E138" s="8" t="s">
        <v>143</v>
      </c>
      <c r="F138" s="9">
        <v>0</v>
      </c>
      <c r="G138" s="9">
        <v>0</v>
      </c>
      <c r="H138" s="9">
        <v>24</v>
      </c>
      <c r="I138" s="9">
        <v>48</v>
      </c>
      <c r="J138" s="9">
        <v>0</v>
      </c>
      <c r="K138" s="9">
        <v>0</v>
      </c>
      <c r="L138" s="9" t="s">
        <v>185</v>
      </c>
    </row>
    <row r="139" spans="1:12">
      <c r="A139" s="9" t="s">
        <v>41</v>
      </c>
      <c r="B139" s="9" t="s">
        <v>42</v>
      </c>
      <c r="C139" s="15" t="s">
        <v>157</v>
      </c>
      <c r="D139" s="9" t="s">
        <v>158</v>
      </c>
      <c r="E139" s="8" t="s">
        <v>143</v>
      </c>
      <c r="F139" s="9">
        <v>0</v>
      </c>
      <c r="G139" s="9">
        <v>0</v>
      </c>
      <c r="H139" s="9">
        <v>24</v>
      </c>
      <c r="I139" s="9">
        <v>24</v>
      </c>
      <c r="J139" s="9">
        <v>0</v>
      </c>
      <c r="K139" s="9">
        <v>0</v>
      </c>
      <c r="L139" s="9" t="s">
        <v>233</v>
      </c>
    </row>
    <row r="140" spans="1:12">
      <c r="A140" s="4" t="s">
        <v>43</v>
      </c>
      <c r="B140" s="4" t="s">
        <v>44</v>
      </c>
      <c r="C140" s="14" t="s">
        <v>157</v>
      </c>
      <c r="D140" s="4" t="s">
        <v>158</v>
      </c>
      <c r="E140" s="3" t="s">
        <v>143</v>
      </c>
      <c r="F140" s="4">
        <v>24</v>
      </c>
      <c r="G140" s="4">
        <v>24</v>
      </c>
      <c r="H140" s="4">
        <v>-24</v>
      </c>
      <c r="I140" s="4">
        <v>24</v>
      </c>
      <c r="J140" s="4">
        <v>0</v>
      </c>
      <c r="K140" s="4">
        <v>0</v>
      </c>
      <c r="L140" s="4" t="s">
        <v>159</v>
      </c>
    </row>
    <row r="141" spans="1:12">
      <c r="A141" s="4" t="s">
        <v>43</v>
      </c>
      <c r="B141" s="4" t="s">
        <v>44</v>
      </c>
      <c r="C141" s="14" t="s">
        <v>157</v>
      </c>
      <c r="D141" s="4" t="s">
        <v>158</v>
      </c>
      <c r="E141" s="3" t="s">
        <v>143</v>
      </c>
      <c r="F141" s="4">
        <v>0</v>
      </c>
      <c r="G141" s="4">
        <v>0</v>
      </c>
      <c r="H141" s="4">
        <v>24</v>
      </c>
      <c r="I141" s="4">
        <v>48</v>
      </c>
      <c r="J141" s="4">
        <v>0</v>
      </c>
      <c r="K141" s="4">
        <v>0</v>
      </c>
      <c r="L141" s="4" t="s">
        <v>185</v>
      </c>
    </row>
    <row r="142" spans="1:12">
      <c r="A142" s="4" t="s">
        <v>43</v>
      </c>
      <c r="B142" s="4" t="s">
        <v>44</v>
      </c>
      <c r="C142" s="14" t="s">
        <v>157</v>
      </c>
      <c r="D142" s="4" t="s">
        <v>158</v>
      </c>
      <c r="E142" s="3" t="s">
        <v>143</v>
      </c>
      <c r="F142" s="4">
        <v>0</v>
      </c>
      <c r="G142" s="4">
        <v>0</v>
      </c>
      <c r="H142" s="4">
        <v>24</v>
      </c>
      <c r="I142" s="4">
        <v>24</v>
      </c>
      <c r="J142" s="4">
        <v>0</v>
      </c>
      <c r="K142" s="4">
        <v>0</v>
      </c>
      <c r="L142" s="4" t="s">
        <v>232</v>
      </c>
    </row>
    <row r="143" spans="1:12">
      <c r="A143" s="9" t="s">
        <v>45</v>
      </c>
      <c r="B143" s="9" t="s">
        <v>46</v>
      </c>
      <c r="C143" s="15" t="s">
        <v>157</v>
      </c>
      <c r="D143" s="9" t="s">
        <v>158</v>
      </c>
      <c r="E143" s="8" t="s">
        <v>143</v>
      </c>
      <c r="F143" s="9">
        <v>32</v>
      </c>
      <c r="G143" s="9">
        <v>32</v>
      </c>
      <c r="H143" s="9">
        <v>-32</v>
      </c>
      <c r="I143" s="9">
        <v>32</v>
      </c>
      <c r="J143" s="9">
        <v>0</v>
      </c>
      <c r="K143" s="9">
        <v>0</v>
      </c>
      <c r="L143" s="9" t="s">
        <v>161</v>
      </c>
    </row>
    <row r="144" spans="1:12">
      <c r="A144" s="9" t="s">
        <v>45</v>
      </c>
      <c r="B144" s="9" t="s">
        <v>46</v>
      </c>
      <c r="C144" s="15" t="s">
        <v>157</v>
      </c>
      <c r="D144" s="9" t="s">
        <v>158</v>
      </c>
      <c r="E144" s="8" t="s">
        <v>143</v>
      </c>
      <c r="F144" s="9">
        <v>0</v>
      </c>
      <c r="G144" s="9">
        <v>0</v>
      </c>
      <c r="H144" s="9">
        <v>32</v>
      </c>
      <c r="I144" s="9">
        <v>64</v>
      </c>
      <c r="J144" s="9">
        <v>0</v>
      </c>
      <c r="K144" s="9">
        <v>0</v>
      </c>
      <c r="L144" s="9" t="s">
        <v>184</v>
      </c>
    </row>
    <row r="145" spans="1:12">
      <c r="A145" s="9" t="s">
        <v>45</v>
      </c>
      <c r="B145" s="9" t="s">
        <v>46</v>
      </c>
      <c r="C145" s="15" t="s">
        <v>157</v>
      </c>
      <c r="D145" s="9" t="s">
        <v>158</v>
      </c>
      <c r="E145" s="8" t="s">
        <v>143</v>
      </c>
      <c r="F145" s="9">
        <v>0</v>
      </c>
      <c r="G145" s="9">
        <v>0</v>
      </c>
      <c r="H145" s="9">
        <v>32</v>
      </c>
      <c r="I145" s="9">
        <v>32</v>
      </c>
      <c r="J145" s="9">
        <v>0</v>
      </c>
      <c r="K145" s="9">
        <v>0</v>
      </c>
      <c r="L145" s="9" t="s">
        <v>231</v>
      </c>
    </row>
    <row r="146" spans="1:12">
      <c r="A146" s="4" t="s">
        <v>47</v>
      </c>
      <c r="B146" s="4" t="s">
        <v>48</v>
      </c>
      <c r="C146" s="14" t="s">
        <v>157</v>
      </c>
      <c r="D146" s="4" t="s">
        <v>158</v>
      </c>
      <c r="E146" s="3" t="s">
        <v>143</v>
      </c>
      <c r="F146" s="4">
        <v>120</v>
      </c>
      <c r="G146" s="4">
        <v>120</v>
      </c>
      <c r="H146" s="4">
        <v>-120</v>
      </c>
      <c r="I146" s="4">
        <v>120</v>
      </c>
      <c r="J146" s="4">
        <v>0</v>
      </c>
      <c r="K146" s="4">
        <v>0</v>
      </c>
      <c r="L146" s="4" t="s">
        <v>159</v>
      </c>
    </row>
    <row r="147" spans="1:12">
      <c r="A147" s="4" t="s">
        <v>47</v>
      </c>
      <c r="B147" s="4" t="s">
        <v>48</v>
      </c>
      <c r="C147" s="14" t="s">
        <v>157</v>
      </c>
      <c r="D147" s="4" t="s">
        <v>158</v>
      </c>
      <c r="E147" s="3" t="s">
        <v>143</v>
      </c>
      <c r="F147" s="4">
        <v>0</v>
      </c>
      <c r="G147" s="4">
        <v>0</v>
      </c>
      <c r="H147" s="4">
        <v>120</v>
      </c>
      <c r="I147" s="4">
        <v>240</v>
      </c>
      <c r="J147" s="4">
        <v>0</v>
      </c>
      <c r="K147" s="4">
        <v>0</v>
      </c>
      <c r="L147" s="4" t="s">
        <v>184</v>
      </c>
    </row>
    <row r="148" spans="1:12">
      <c r="A148" s="4" t="s">
        <v>47</v>
      </c>
      <c r="B148" s="4" t="s">
        <v>48</v>
      </c>
      <c r="C148" s="14" t="s">
        <v>157</v>
      </c>
      <c r="D148" s="4" t="s">
        <v>158</v>
      </c>
      <c r="E148" s="3" t="s">
        <v>143</v>
      </c>
      <c r="F148" s="4">
        <v>0</v>
      </c>
      <c r="G148" s="4">
        <v>0</v>
      </c>
      <c r="H148" s="4">
        <v>120</v>
      </c>
      <c r="I148" s="4">
        <v>120</v>
      </c>
      <c r="J148" s="4">
        <v>0</v>
      </c>
      <c r="K148" s="4">
        <v>0</v>
      </c>
      <c r="L148" s="4" t="s">
        <v>230</v>
      </c>
    </row>
    <row r="149" spans="1:12" ht="30">
      <c r="A149" s="4" t="s">
        <v>121</v>
      </c>
      <c r="B149" s="4" t="s">
        <v>122</v>
      </c>
      <c r="C149" s="14" t="s">
        <v>157</v>
      </c>
      <c r="D149" s="4" t="s">
        <v>158</v>
      </c>
      <c r="E149" s="3" t="s">
        <v>143</v>
      </c>
      <c r="F149" s="4">
        <v>16</v>
      </c>
      <c r="G149" s="4">
        <v>16</v>
      </c>
      <c r="H149" s="4">
        <v>-16</v>
      </c>
      <c r="I149" s="4">
        <v>16</v>
      </c>
      <c r="J149" s="4">
        <v>0</v>
      </c>
      <c r="K149" s="4">
        <v>0</v>
      </c>
      <c r="L149" s="4" t="s">
        <v>161</v>
      </c>
    </row>
    <row r="150" spans="1:12" ht="30">
      <c r="A150" s="9" t="s">
        <v>121</v>
      </c>
      <c r="B150" s="9" t="s">
        <v>122</v>
      </c>
      <c r="C150" s="15" t="s">
        <v>157</v>
      </c>
      <c r="D150" s="9" t="s">
        <v>158</v>
      </c>
      <c r="E150" s="8" t="s">
        <v>143</v>
      </c>
      <c r="F150" s="9">
        <v>0</v>
      </c>
      <c r="G150" s="9">
        <v>0</v>
      </c>
      <c r="H150" s="9">
        <v>16</v>
      </c>
      <c r="I150" s="9">
        <v>32</v>
      </c>
      <c r="J150" s="9">
        <v>0</v>
      </c>
      <c r="K150" s="9">
        <v>0</v>
      </c>
      <c r="L150" s="9" t="s">
        <v>166</v>
      </c>
    </row>
    <row r="151" spans="1:12" ht="30">
      <c r="A151" s="9" t="s">
        <v>121</v>
      </c>
      <c r="B151" s="9" t="s">
        <v>122</v>
      </c>
      <c r="C151" s="15" t="s">
        <v>157</v>
      </c>
      <c r="D151" s="9" t="s">
        <v>158</v>
      </c>
      <c r="E151" s="8" t="s">
        <v>143</v>
      </c>
      <c r="F151" s="9">
        <v>0</v>
      </c>
      <c r="G151" s="9">
        <v>0</v>
      </c>
      <c r="H151" s="9">
        <v>16</v>
      </c>
      <c r="I151" s="9">
        <v>16</v>
      </c>
      <c r="J151" s="9">
        <v>0</v>
      </c>
      <c r="K151" s="9">
        <v>0</v>
      </c>
      <c r="L151" s="9" t="s">
        <v>197</v>
      </c>
    </row>
    <row r="152" spans="1:12">
      <c r="A152" s="9" t="s">
        <v>123</v>
      </c>
      <c r="B152" s="9" t="s">
        <v>124</v>
      </c>
      <c r="C152" s="15" t="s">
        <v>157</v>
      </c>
      <c r="D152" s="9" t="s">
        <v>158</v>
      </c>
      <c r="E152" s="8" t="s">
        <v>143</v>
      </c>
      <c r="F152" s="9">
        <v>16</v>
      </c>
      <c r="G152" s="9">
        <v>16</v>
      </c>
      <c r="H152" s="9">
        <v>-16</v>
      </c>
      <c r="I152" s="9">
        <v>16</v>
      </c>
      <c r="J152" s="9">
        <v>0</v>
      </c>
      <c r="K152" s="9">
        <v>0</v>
      </c>
      <c r="L152" s="9" t="s">
        <v>159</v>
      </c>
    </row>
    <row r="153" spans="1:12">
      <c r="A153" s="4" t="s">
        <v>123</v>
      </c>
      <c r="B153" s="4" t="s">
        <v>124</v>
      </c>
      <c r="C153" s="14" t="s">
        <v>157</v>
      </c>
      <c r="D153" s="4" t="s">
        <v>158</v>
      </c>
      <c r="E153" s="3" t="s">
        <v>143</v>
      </c>
      <c r="F153" s="4">
        <v>0</v>
      </c>
      <c r="G153" s="4">
        <v>0</v>
      </c>
      <c r="H153" s="4">
        <v>16</v>
      </c>
      <c r="I153" s="4">
        <v>32</v>
      </c>
      <c r="J153" s="4">
        <v>0</v>
      </c>
      <c r="K153" s="4">
        <v>0</v>
      </c>
      <c r="L153" s="4" t="s">
        <v>165</v>
      </c>
    </row>
    <row r="154" spans="1:12">
      <c r="A154" s="4" t="s">
        <v>123</v>
      </c>
      <c r="B154" s="4" t="s">
        <v>124</v>
      </c>
      <c r="C154" s="14" t="s">
        <v>157</v>
      </c>
      <c r="D154" s="4" t="s">
        <v>158</v>
      </c>
      <c r="E154" s="3" t="s">
        <v>143</v>
      </c>
      <c r="F154" s="4">
        <v>0</v>
      </c>
      <c r="G154" s="4">
        <v>0</v>
      </c>
      <c r="H154" s="4">
        <v>16</v>
      </c>
      <c r="I154" s="4">
        <v>16</v>
      </c>
      <c r="J154" s="4">
        <v>0</v>
      </c>
      <c r="K154" s="4">
        <v>0</v>
      </c>
      <c r="L154" s="4" t="s">
        <v>197</v>
      </c>
    </row>
    <row r="155" spans="1:12">
      <c r="A155" s="4" t="s">
        <v>125</v>
      </c>
      <c r="B155" s="4" t="s">
        <v>126</v>
      </c>
      <c r="C155" s="14" t="s">
        <v>157</v>
      </c>
      <c r="D155" s="4" t="s">
        <v>158</v>
      </c>
      <c r="E155" s="3" t="s">
        <v>143</v>
      </c>
      <c r="F155" s="4">
        <v>16</v>
      </c>
      <c r="G155" s="4">
        <v>16</v>
      </c>
      <c r="H155" s="4">
        <v>-16</v>
      </c>
      <c r="I155" s="4">
        <v>16</v>
      </c>
      <c r="J155" s="4">
        <v>0</v>
      </c>
      <c r="K155" s="4">
        <v>0</v>
      </c>
      <c r="L155" s="4" t="s">
        <v>159</v>
      </c>
    </row>
    <row r="156" spans="1:12">
      <c r="A156" s="9" t="s">
        <v>125</v>
      </c>
      <c r="B156" s="9" t="s">
        <v>126</v>
      </c>
      <c r="C156" s="15" t="s">
        <v>157</v>
      </c>
      <c r="D156" s="9" t="s">
        <v>158</v>
      </c>
      <c r="E156" s="8" t="s">
        <v>143</v>
      </c>
      <c r="F156" s="9">
        <v>0</v>
      </c>
      <c r="G156" s="9">
        <v>0</v>
      </c>
      <c r="H156" s="9">
        <v>16</v>
      </c>
      <c r="I156" s="9">
        <v>32</v>
      </c>
      <c r="J156" s="9">
        <v>0</v>
      </c>
      <c r="K156" s="9">
        <v>0</v>
      </c>
      <c r="L156" s="9" t="s">
        <v>165</v>
      </c>
    </row>
    <row r="157" spans="1:12">
      <c r="A157" s="9" t="s">
        <v>125</v>
      </c>
      <c r="B157" s="9" t="s">
        <v>126</v>
      </c>
      <c r="C157" s="15" t="s">
        <v>157</v>
      </c>
      <c r="D157" s="9" t="s">
        <v>158</v>
      </c>
      <c r="E157" s="8" t="s">
        <v>143</v>
      </c>
      <c r="F157" s="9">
        <v>0</v>
      </c>
      <c r="G157" s="9">
        <v>0</v>
      </c>
      <c r="H157" s="9">
        <v>16</v>
      </c>
      <c r="I157" s="9">
        <v>16</v>
      </c>
      <c r="J157" s="9">
        <v>0</v>
      </c>
      <c r="K157" s="9">
        <v>0</v>
      </c>
      <c r="L157" s="9" t="s">
        <v>196</v>
      </c>
    </row>
    <row r="158" spans="1:12">
      <c r="A158" s="4" t="s">
        <v>127</v>
      </c>
      <c r="B158" s="4" t="s">
        <v>128</v>
      </c>
      <c r="C158" s="14" t="s">
        <v>157</v>
      </c>
      <c r="D158" s="4" t="s">
        <v>158</v>
      </c>
      <c r="E158" s="3" t="s">
        <v>143</v>
      </c>
      <c r="F158" s="4">
        <v>90</v>
      </c>
      <c r="G158" s="4">
        <v>90</v>
      </c>
      <c r="H158" s="4">
        <v>-90</v>
      </c>
      <c r="I158" s="4">
        <v>90</v>
      </c>
      <c r="J158" s="4">
        <v>0</v>
      </c>
      <c r="K158" s="4">
        <v>0</v>
      </c>
      <c r="L158" s="4" t="s">
        <v>160</v>
      </c>
    </row>
    <row r="159" spans="1:12">
      <c r="A159" s="4" t="s">
        <v>127</v>
      </c>
      <c r="B159" s="4" t="s">
        <v>128</v>
      </c>
      <c r="C159" s="14" t="s">
        <v>157</v>
      </c>
      <c r="D159" s="4" t="s">
        <v>158</v>
      </c>
      <c r="E159" s="3" t="s">
        <v>143</v>
      </c>
      <c r="F159" s="4">
        <v>0</v>
      </c>
      <c r="G159" s="4">
        <v>0</v>
      </c>
      <c r="H159" s="4">
        <v>90</v>
      </c>
      <c r="I159" s="4">
        <v>180</v>
      </c>
      <c r="J159" s="4">
        <v>0</v>
      </c>
      <c r="K159" s="4">
        <v>0</v>
      </c>
      <c r="L159" s="4" t="s">
        <v>164</v>
      </c>
    </row>
    <row r="160" spans="1:12">
      <c r="A160" s="4" t="s">
        <v>127</v>
      </c>
      <c r="B160" s="4" t="s">
        <v>128</v>
      </c>
      <c r="C160" s="14" t="s">
        <v>157</v>
      </c>
      <c r="D160" s="4" t="s">
        <v>158</v>
      </c>
      <c r="E160" s="3" t="s">
        <v>143</v>
      </c>
      <c r="F160" s="4">
        <v>0</v>
      </c>
      <c r="G160" s="4">
        <v>0</v>
      </c>
      <c r="H160" s="4">
        <v>90</v>
      </c>
      <c r="I160" s="4">
        <v>90</v>
      </c>
      <c r="J160" s="4">
        <v>0</v>
      </c>
      <c r="K160" s="4">
        <v>0</v>
      </c>
      <c r="L160" s="4" t="s">
        <v>195</v>
      </c>
    </row>
    <row r="161" spans="1:12">
      <c r="A161" s="9" t="s">
        <v>49</v>
      </c>
      <c r="B161" s="9" t="s">
        <v>50</v>
      </c>
      <c r="C161" s="15" t="s">
        <v>157</v>
      </c>
      <c r="D161" s="9" t="s">
        <v>158</v>
      </c>
      <c r="E161" s="8" t="s">
        <v>143</v>
      </c>
      <c r="F161" s="9">
        <v>96</v>
      </c>
      <c r="G161" s="9">
        <v>96</v>
      </c>
      <c r="H161" s="9">
        <v>-96</v>
      </c>
      <c r="I161" s="9">
        <v>96</v>
      </c>
      <c r="J161" s="9">
        <v>0</v>
      </c>
      <c r="K161" s="9">
        <v>0</v>
      </c>
      <c r="L161" s="9" t="s">
        <v>160</v>
      </c>
    </row>
    <row r="162" spans="1:12">
      <c r="A162" s="9" t="s">
        <v>49</v>
      </c>
      <c r="B162" s="9" t="s">
        <v>50</v>
      </c>
      <c r="C162" s="15" t="s">
        <v>157</v>
      </c>
      <c r="D162" s="9" t="s">
        <v>158</v>
      </c>
      <c r="E162" s="8" t="s">
        <v>143</v>
      </c>
      <c r="F162" s="9">
        <v>0</v>
      </c>
      <c r="G162" s="9">
        <v>0</v>
      </c>
      <c r="H162" s="9">
        <v>96</v>
      </c>
      <c r="I162" s="9">
        <v>192</v>
      </c>
      <c r="J162" s="9">
        <v>0</v>
      </c>
      <c r="K162" s="9">
        <v>0</v>
      </c>
      <c r="L162" s="9" t="s">
        <v>184</v>
      </c>
    </row>
    <row r="163" spans="1:12">
      <c r="A163" s="9" t="s">
        <v>49</v>
      </c>
      <c r="B163" s="9" t="s">
        <v>50</v>
      </c>
      <c r="C163" s="15" t="s">
        <v>157</v>
      </c>
      <c r="D163" s="9" t="s">
        <v>158</v>
      </c>
      <c r="E163" s="8" t="s">
        <v>143</v>
      </c>
      <c r="F163" s="9">
        <v>0</v>
      </c>
      <c r="G163" s="9">
        <v>0</v>
      </c>
      <c r="H163" s="9">
        <v>96</v>
      </c>
      <c r="I163" s="9">
        <v>96</v>
      </c>
      <c r="J163" s="9">
        <v>0</v>
      </c>
      <c r="K163" s="9">
        <v>0</v>
      </c>
      <c r="L163" s="9" t="s">
        <v>229</v>
      </c>
    </row>
    <row r="164" spans="1:12">
      <c r="A164" s="9" t="s">
        <v>129</v>
      </c>
      <c r="B164" s="9" t="s">
        <v>130</v>
      </c>
      <c r="C164" s="15" t="s">
        <v>157</v>
      </c>
      <c r="D164" s="9" t="s">
        <v>158</v>
      </c>
      <c r="E164" s="8" t="s">
        <v>143</v>
      </c>
      <c r="F164" s="9">
        <v>24</v>
      </c>
      <c r="G164" s="9">
        <v>24</v>
      </c>
      <c r="H164" s="9">
        <v>-24</v>
      </c>
      <c r="I164" s="9">
        <v>24</v>
      </c>
      <c r="J164" s="9">
        <v>0</v>
      </c>
      <c r="K164" s="9">
        <v>0</v>
      </c>
      <c r="L164" s="9" t="s">
        <v>159</v>
      </c>
    </row>
    <row r="165" spans="1:12">
      <c r="A165" s="9" t="s">
        <v>129</v>
      </c>
      <c r="B165" s="9" t="s">
        <v>130</v>
      </c>
      <c r="C165" s="15" t="s">
        <v>157</v>
      </c>
      <c r="D165" s="9" t="s">
        <v>158</v>
      </c>
      <c r="E165" s="8" t="s">
        <v>143</v>
      </c>
      <c r="F165" s="9">
        <v>0</v>
      </c>
      <c r="G165" s="9">
        <v>0</v>
      </c>
      <c r="H165" s="9">
        <v>24</v>
      </c>
      <c r="I165" s="9">
        <v>48</v>
      </c>
      <c r="J165" s="9">
        <v>0</v>
      </c>
      <c r="K165" s="9">
        <v>0</v>
      </c>
      <c r="L165" s="9" t="s">
        <v>164</v>
      </c>
    </row>
    <row r="166" spans="1:12">
      <c r="A166" s="9" t="s">
        <v>129</v>
      </c>
      <c r="B166" s="9" t="s">
        <v>130</v>
      </c>
      <c r="C166" s="15" t="s">
        <v>157</v>
      </c>
      <c r="D166" s="9" t="s">
        <v>158</v>
      </c>
      <c r="E166" s="8" t="s">
        <v>143</v>
      </c>
      <c r="F166" s="9">
        <v>0</v>
      </c>
      <c r="G166" s="9">
        <v>0</v>
      </c>
      <c r="H166" s="9">
        <v>24</v>
      </c>
      <c r="I166" s="9">
        <v>24</v>
      </c>
      <c r="J166" s="9">
        <v>0</v>
      </c>
      <c r="K166" s="9">
        <v>0</v>
      </c>
      <c r="L166" s="9" t="s">
        <v>194</v>
      </c>
    </row>
    <row r="167" spans="1:12">
      <c r="A167" s="4" t="s">
        <v>131</v>
      </c>
      <c r="B167" s="4" t="s">
        <v>132</v>
      </c>
      <c r="C167" s="14" t="s">
        <v>157</v>
      </c>
      <c r="D167" s="4" t="s">
        <v>158</v>
      </c>
      <c r="E167" s="3" t="s">
        <v>143</v>
      </c>
      <c r="F167" s="4">
        <v>20</v>
      </c>
      <c r="G167" s="4">
        <v>20</v>
      </c>
      <c r="H167" s="4">
        <v>-20</v>
      </c>
      <c r="I167" s="4">
        <v>20</v>
      </c>
      <c r="J167" s="4">
        <v>0</v>
      </c>
      <c r="K167" s="4">
        <v>0</v>
      </c>
      <c r="L167" s="4" t="s">
        <v>160</v>
      </c>
    </row>
    <row r="168" spans="1:12">
      <c r="A168" s="4" t="s">
        <v>131</v>
      </c>
      <c r="B168" s="4" t="s">
        <v>132</v>
      </c>
      <c r="C168" s="14" t="s">
        <v>157</v>
      </c>
      <c r="D168" s="4" t="s">
        <v>158</v>
      </c>
      <c r="E168" s="3" t="s">
        <v>143</v>
      </c>
      <c r="F168" s="4">
        <v>0</v>
      </c>
      <c r="G168" s="4">
        <v>0</v>
      </c>
      <c r="H168" s="4">
        <v>20</v>
      </c>
      <c r="I168" s="4">
        <v>40</v>
      </c>
      <c r="J168" s="4">
        <v>0</v>
      </c>
      <c r="K168" s="4">
        <v>0</v>
      </c>
      <c r="L168" s="4" t="s">
        <v>163</v>
      </c>
    </row>
    <row r="169" spans="1:12">
      <c r="A169" s="4" t="s">
        <v>131</v>
      </c>
      <c r="B169" s="4" t="s">
        <v>132</v>
      </c>
      <c r="C169" s="14" t="s">
        <v>157</v>
      </c>
      <c r="D169" s="4" t="s">
        <v>158</v>
      </c>
      <c r="E169" s="3" t="s">
        <v>143</v>
      </c>
      <c r="F169" s="4">
        <v>0</v>
      </c>
      <c r="G169" s="4">
        <v>0</v>
      </c>
      <c r="H169" s="4">
        <v>20</v>
      </c>
      <c r="I169" s="4">
        <v>20</v>
      </c>
      <c r="J169" s="4">
        <v>0</v>
      </c>
      <c r="K169" s="4">
        <v>0</v>
      </c>
      <c r="L169" s="4" t="s">
        <v>193</v>
      </c>
    </row>
    <row r="170" spans="1:12">
      <c r="A170" s="9" t="s">
        <v>133</v>
      </c>
      <c r="B170" s="9" t="s">
        <v>134</v>
      </c>
      <c r="C170" s="15" t="s">
        <v>157</v>
      </c>
      <c r="D170" s="9" t="s">
        <v>158</v>
      </c>
      <c r="E170" s="8" t="s">
        <v>143</v>
      </c>
      <c r="F170" s="9">
        <v>9</v>
      </c>
      <c r="G170" s="9">
        <v>9</v>
      </c>
      <c r="H170" s="9">
        <v>-9</v>
      </c>
      <c r="I170" s="9">
        <v>9</v>
      </c>
      <c r="J170" s="9">
        <v>0</v>
      </c>
      <c r="K170" s="9">
        <v>0</v>
      </c>
      <c r="L170" s="9" t="s">
        <v>161</v>
      </c>
    </row>
    <row r="171" spans="1:12">
      <c r="A171" s="9" t="s">
        <v>133</v>
      </c>
      <c r="B171" s="9" t="s">
        <v>134</v>
      </c>
      <c r="C171" s="15" t="s">
        <v>157</v>
      </c>
      <c r="D171" s="9" t="s">
        <v>158</v>
      </c>
      <c r="E171" s="8" t="s">
        <v>143</v>
      </c>
      <c r="F171" s="9">
        <v>0</v>
      </c>
      <c r="G171" s="9">
        <v>0</v>
      </c>
      <c r="H171" s="9">
        <v>9</v>
      </c>
      <c r="I171" s="9">
        <v>18</v>
      </c>
      <c r="J171" s="9">
        <v>0</v>
      </c>
      <c r="K171" s="9">
        <v>0</v>
      </c>
      <c r="L171" s="9" t="s">
        <v>163</v>
      </c>
    </row>
    <row r="172" spans="1:12">
      <c r="A172" s="9" t="s">
        <v>133</v>
      </c>
      <c r="B172" s="9" t="s">
        <v>134</v>
      </c>
      <c r="C172" s="15" t="s">
        <v>157</v>
      </c>
      <c r="D172" s="9" t="s">
        <v>158</v>
      </c>
      <c r="E172" s="8" t="s">
        <v>143</v>
      </c>
      <c r="F172" s="9">
        <v>0</v>
      </c>
      <c r="G172" s="9">
        <v>0</v>
      </c>
      <c r="H172" s="9">
        <v>9</v>
      </c>
      <c r="I172" s="9">
        <v>9</v>
      </c>
      <c r="J172" s="9">
        <v>0</v>
      </c>
      <c r="K172" s="9">
        <v>0</v>
      </c>
      <c r="L172" s="9" t="s">
        <v>192</v>
      </c>
    </row>
    <row r="173" spans="1:12">
      <c r="A173" s="4" t="s">
        <v>135</v>
      </c>
      <c r="B173" s="4" t="s">
        <v>136</v>
      </c>
      <c r="C173" s="14" t="s">
        <v>157</v>
      </c>
      <c r="D173" s="4" t="s">
        <v>158</v>
      </c>
      <c r="E173" s="3" t="s">
        <v>143</v>
      </c>
      <c r="F173" s="4">
        <v>9</v>
      </c>
      <c r="G173" s="4">
        <v>9</v>
      </c>
      <c r="H173" s="4">
        <v>-9</v>
      </c>
      <c r="I173" s="4">
        <v>9</v>
      </c>
      <c r="J173" s="4">
        <v>0</v>
      </c>
      <c r="K173" s="4">
        <v>0</v>
      </c>
      <c r="L173" s="4" t="s">
        <v>161</v>
      </c>
    </row>
    <row r="174" spans="1:12">
      <c r="A174" s="4" t="s">
        <v>135</v>
      </c>
      <c r="B174" s="4" t="s">
        <v>136</v>
      </c>
      <c r="C174" s="14" t="s">
        <v>157</v>
      </c>
      <c r="D174" s="4" t="s">
        <v>158</v>
      </c>
      <c r="E174" s="3" t="s">
        <v>143</v>
      </c>
      <c r="F174" s="4">
        <v>0</v>
      </c>
      <c r="G174" s="4">
        <v>0</v>
      </c>
      <c r="H174" s="4">
        <v>9</v>
      </c>
      <c r="I174" s="4">
        <v>18</v>
      </c>
      <c r="J174" s="4">
        <v>0</v>
      </c>
      <c r="K174" s="4">
        <v>0</v>
      </c>
      <c r="L174" s="4" t="s">
        <v>162</v>
      </c>
    </row>
    <row r="175" spans="1:12">
      <c r="A175" s="4" t="s">
        <v>135</v>
      </c>
      <c r="B175" s="4" t="s">
        <v>136</v>
      </c>
      <c r="C175" s="14" t="s">
        <v>157</v>
      </c>
      <c r="D175" s="4" t="s">
        <v>158</v>
      </c>
      <c r="E175" s="3" t="s">
        <v>143</v>
      </c>
      <c r="F175" s="4">
        <v>0</v>
      </c>
      <c r="G175" s="4">
        <v>0</v>
      </c>
      <c r="H175" s="4">
        <v>9</v>
      </c>
      <c r="I175" s="4">
        <v>9</v>
      </c>
      <c r="J175" s="4">
        <v>0</v>
      </c>
      <c r="K175" s="4">
        <v>0</v>
      </c>
      <c r="L175" s="4" t="s">
        <v>191</v>
      </c>
    </row>
    <row r="176" spans="1:12">
      <c r="A176" s="9" t="s">
        <v>137</v>
      </c>
      <c r="B176" s="9" t="s">
        <v>138</v>
      </c>
      <c r="C176" s="15" t="s">
        <v>157</v>
      </c>
      <c r="D176" s="9" t="s">
        <v>158</v>
      </c>
      <c r="E176" s="8" t="s">
        <v>143</v>
      </c>
      <c r="F176" s="9">
        <v>24</v>
      </c>
      <c r="G176" s="9">
        <v>24</v>
      </c>
      <c r="H176" s="9">
        <v>-24</v>
      </c>
      <c r="I176" s="9">
        <v>24</v>
      </c>
      <c r="J176" s="9">
        <v>0</v>
      </c>
      <c r="K176" s="9">
        <v>0</v>
      </c>
      <c r="L176" s="9" t="s">
        <v>160</v>
      </c>
    </row>
    <row r="177" spans="1:12">
      <c r="A177" s="9" t="s">
        <v>137</v>
      </c>
      <c r="B177" s="9" t="s">
        <v>138</v>
      </c>
      <c r="C177" s="15" t="s">
        <v>157</v>
      </c>
      <c r="D177" s="9" t="s">
        <v>158</v>
      </c>
      <c r="E177" s="8" t="s">
        <v>143</v>
      </c>
      <c r="F177" s="9">
        <v>0</v>
      </c>
      <c r="G177" s="9">
        <v>0</v>
      </c>
      <c r="H177" s="9">
        <v>24</v>
      </c>
      <c r="I177" s="9">
        <v>48</v>
      </c>
      <c r="J177" s="9">
        <v>0</v>
      </c>
      <c r="K177" s="9">
        <v>0</v>
      </c>
      <c r="L177" s="9" t="s">
        <v>162</v>
      </c>
    </row>
    <row r="178" spans="1:12">
      <c r="A178" s="9" t="s">
        <v>137</v>
      </c>
      <c r="B178" s="9" t="s">
        <v>138</v>
      </c>
      <c r="C178" s="15" t="s">
        <v>157</v>
      </c>
      <c r="D178" s="9" t="s">
        <v>158</v>
      </c>
      <c r="E178" s="8" t="s">
        <v>143</v>
      </c>
      <c r="F178" s="9">
        <v>0</v>
      </c>
      <c r="G178" s="9">
        <v>0</v>
      </c>
      <c r="H178" s="9">
        <v>24</v>
      </c>
      <c r="I178" s="9">
        <v>24</v>
      </c>
      <c r="J178" s="9">
        <v>0</v>
      </c>
      <c r="K178" s="9">
        <v>0</v>
      </c>
      <c r="L178" s="9" t="s">
        <v>190</v>
      </c>
    </row>
    <row r="179" spans="1:12">
      <c r="A179" s="4" t="s">
        <v>139</v>
      </c>
      <c r="B179" s="4" t="s">
        <v>140</v>
      </c>
      <c r="C179" s="14" t="s">
        <v>157</v>
      </c>
      <c r="D179" s="4" t="s">
        <v>158</v>
      </c>
      <c r="E179" s="3" t="s">
        <v>143</v>
      </c>
      <c r="F179" s="4">
        <v>24</v>
      </c>
      <c r="G179" s="4">
        <v>24</v>
      </c>
      <c r="H179" s="4">
        <v>-24</v>
      </c>
      <c r="I179" s="4">
        <v>24</v>
      </c>
      <c r="J179" s="4">
        <v>0</v>
      </c>
      <c r="K179" s="4">
        <v>0</v>
      </c>
      <c r="L179" s="4" t="s">
        <v>160</v>
      </c>
    </row>
    <row r="180" spans="1:12">
      <c r="A180" s="4" t="s">
        <v>139</v>
      </c>
      <c r="B180" s="4" t="s">
        <v>140</v>
      </c>
      <c r="C180" s="14" t="s">
        <v>157</v>
      </c>
      <c r="D180" s="4" t="s">
        <v>158</v>
      </c>
      <c r="E180" s="3" t="s">
        <v>143</v>
      </c>
      <c r="F180" s="4">
        <v>0</v>
      </c>
      <c r="G180" s="4">
        <v>0</v>
      </c>
      <c r="H180" s="4">
        <v>24</v>
      </c>
      <c r="I180" s="4">
        <v>48</v>
      </c>
      <c r="J180" s="4">
        <v>0</v>
      </c>
      <c r="K180" s="4">
        <v>0</v>
      </c>
      <c r="L180" s="4" t="s">
        <v>162</v>
      </c>
    </row>
    <row r="181" spans="1:12">
      <c r="A181" s="4" t="s">
        <v>139</v>
      </c>
      <c r="B181" s="4" t="s">
        <v>140</v>
      </c>
      <c r="C181" s="14" t="s">
        <v>157</v>
      </c>
      <c r="D181" s="4" t="s">
        <v>158</v>
      </c>
      <c r="E181" s="3" t="s">
        <v>143</v>
      </c>
      <c r="F181" s="4">
        <v>0</v>
      </c>
      <c r="G181" s="4">
        <v>0</v>
      </c>
      <c r="H181" s="4">
        <v>24</v>
      </c>
      <c r="I181" s="4">
        <v>24</v>
      </c>
      <c r="J181" s="4">
        <v>0</v>
      </c>
      <c r="K181" s="4">
        <v>0</v>
      </c>
      <c r="L181" s="4" t="s">
        <v>190</v>
      </c>
    </row>
  </sheetData>
  <autoFilter ref="A1:L181" xr:uid="{542588C1-1E07-4CE2-AACB-87DDB8E32A0E}">
    <sortState xmlns:xlrd2="http://schemas.microsoft.com/office/spreadsheetml/2017/richdata2" ref="A2:L181">
      <sortCondition ref="A1:A181"/>
    </sortState>
  </autoFilter>
  <hyperlinks>
    <hyperlink ref="E146" r:id="rId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AEAFCD74-B670-4C4B-B5CD-78392A05CEF9}"/>
    <hyperlink ref="E152" r:id="rId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FECED544-0621-4FC9-B9B4-A9F624987E87}"/>
    <hyperlink ref="E155" r:id="rId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E033134-414C-4649-BE85-EC57000E9E36}"/>
    <hyperlink ref="E122" r:id="rId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3B5AEB0-329A-4A6F-B654-488199D0B0AD}"/>
    <hyperlink ref="E119" r:id="rId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9019C84-45DE-412D-9549-B594682139DF}"/>
    <hyperlink ref="E74" r:id="rId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19C7981A-3DCE-40F8-B1EB-1EFDC8F76418}"/>
    <hyperlink ref="E116" r:id="rId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A5B5180F-F7C9-41C2-ACA9-5482B9C8D3B5}"/>
    <hyperlink ref="E164" r:id="rId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F364C79A-9DB5-47C6-8406-63835B5E550A}"/>
    <hyperlink ref="E140" r:id="rId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F791A72-091C-4F81-A8C0-113EAD1F2C51}"/>
    <hyperlink ref="E113" r:id="rId1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4D81EB8-9D4B-432F-AA31-6B35019E6AFD}"/>
    <hyperlink ref="E137" r:id="rId1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199DB05-867D-4478-92BC-C9B2BDED65F4}"/>
    <hyperlink ref="E110" r:id="rId1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84F0FD6-4305-4806-B2F9-05AE42B08E06}"/>
    <hyperlink ref="E23" r:id="rId1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120F35D-2127-4B35-8D89-BFC1B8C6557B}"/>
    <hyperlink ref="E62" r:id="rId1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A967F6BF-6D39-43C4-B035-AF90B9C1547C}"/>
    <hyperlink ref="E26" r:id="rId1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D28BE36-D227-42B0-BBC5-C58A7179151A}"/>
    <hyperlink ref="E59" r:id="rId1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CAE1F2D-DAD2-4F83-8975-E52A7D86C769}"/>
    <hyperlink ref="E44" r:id="rId1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63B0A0E-9F7F-416D-B67D-247489C62019}"/>
    <hyperlink ref="E131" r:id="rId1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1E0BF2A4-AA21-4DD8-8610-1470018DEBDD}"/>
    <hyperlink ref="E29" r:id="rId1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067B93A1-BA21-46AA-AD2A-D951D281EBE8}"/>
    <hyperlink ref="E128" r:id="rId2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C2AFEBF-664A-4339-B3DB-03BF2B2AA57B}"/>
    <hyperlink ref="E125" r:id="rId2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4B16348-7D27-4076-8971-123868661B11}"/>
    <hyperlink ref="E56" r:id="rId2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EED4B27-D34E-4345-B596-E3DE46C92B7E}"/>
    <hyperlink ref="E77" r:id="rId2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3932248-1819-4C2E-BED6-1A1D28E08DA8}"/>
    <hyperlink ref="E134" r:id="rId2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FD1E45E2-97FC-408C-B729-132D26F9FE6A}"/>
    <hyperlink ref="E158" r:id="rId2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32444E8-62CE-4977-9A59-8A8A3E567D77}"/>
    <hyperlink ref="E161" r:id="rId2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A614D6A-053A-4781-A691-5AE6D3327E86}"/>
    <hyperlink ref="E167" r:id="rId2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0E408D22-7998-4058-B0DC-7463FFAED170}"/>
    <hyperlink ref="E32" r:id="rId2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532B3FD-0BD6-4AE9-AF4C-B2E9FE39950B}"/>
    <hyperlink ref="E38" r:id="rId2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B3EDD03-1650-456E-936F-F2E7564ED63B}"/>
    <hyperlink ref="E47" r:id="rId3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FD3880B-3FA7-4C44-ADF5-2DEBC86BA6AB}"/>
    <hyperlink ref="E35" r:id="rId3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27BDAE9-C421-4C1A-B3E4-594FC2ED25B9}"/>
    <hyperlink ref="E53" r:id="rId3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A700BBF-FFE0-4A00-BC59-8464E51EA704}"/>
    <hyperlink ref="E92" r:id="rId3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6DC7A56-A3E8-4CFD-837D-57B9FEF7B1D3}"/>
    <hyperlink ref="E2" r:id="rId3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014E446-3D2A-4075-B690-B660F35F0645}"/>
    <hyperlink ref="E89" r:id="rId3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8BAD601-CE3E-4E24-95C1-F6FB1110956C}"/>
    <hyperlink ref="E176" r:id="rId3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ADD83DA-5A28-4B7D-96AC-D1D4BD6F4D87}"/>
    <hyperlink ref="E179" r:id="rId3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0BFA398-7520-4C70-9E07-3449B693CDFC}"/>
    <hyperlink ref="E5" r:id="rId3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8DB8AAC-ECD7-487D-8026-522E0190C102}"/>
    <hyperlink ref="E14" r:id="rId3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2C0530E-A659-4D38-B12A-D9F8C37B274C}"/>
    <hyperlink ref="E68" r:id="rId4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5ACBC11-C4BB-4FF0-9B01-BBAD0BF91CA6}"/>
    <hyperlink ref="E86" r:id="rId4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00363139-5D60-4090-946F-05D2AB75EA3D}"/>
    <hyperlink ref="E65" r:id="rId4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F85A13FB-FC30-4A83-953F-7D4DDB8182DE}"/>
    <hyperlink ref="E83" r:id="rId4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A423D6A-EC0E-43EF-BB8E-7E2A0DCB3850}"/>
    <hyperlink ref="E143" r:id="rId4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051BA0E-65E1-4606-B039-57CF5EFAEDDA}"/>
    <hyperlink ref="E80" r:id="rId4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6BF7C6E-ED86-43A8-A54B-D9FB046DE112}"/>
    <hyperlink ref="E71" r:id="rId4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08B4533-4CD1-49A4-957C-74FA55111575}"/>
    <hyperlink ref="E17" r:id="rId4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D72ADFD-9013-4E4F-9A8B-44A44F098B35}"/>
    <hyperlink ref="E20" r:id="rId4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A0F59E4-B88D-44C9-B3E1-A909F2FF700E}"/>
    <hyperlink ref="E95" r:id="rId4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D0F4464-7263-483C-A713-88D8B51C5CE5}"/>
    <hyperlink ref="E101" r:id="rId5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400E3AC-A513-4939-B03B-BDA98F4B92AB}"/>
    <hyperlink ref="E41" r:id="rId5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7E456FB-4169-4A20-9054-0BB80F7B4149}"/>
    <hyperlink ref="E98" r:id="rId5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3981B24-378C-4565-A88F-1ADEE18367F0}"/>
    <hyperlink ref="E8" r:id="rId5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AEE59881-6395-4AD8-B47D-0EE07A6DD713}"/>
    <hyperlink ref="E50" r:id="rId5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D62CEA8-1746-40CB-8723-CF738F238A2F}"/>
    <hyperlink ref="E173" r:id="rId5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105B852F-8A5D-4789-B1D9-BD4A420FA24D}"/>
    <hyperlink ref="E11" r:id="rId5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5748B520-D3CB-4EC5-A571-284099C5F4F8}"/>
    <hyperlink ref="E149" r:id="rId5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C0EA3A5-D712-4B5A-AC8F-02F364693A7C}"/>
    <hyperlink ref="E107" r:id="rId5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9E40E61-797D-40C8-8323-3BFC1B9059E0}"/>
    <hyperlink ref="E104" r:id="rId5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937F42F-BC62-4365-8AB4-CC32F0B1DDEA}"/>
    <hyperlink ref="E170" r:id="rId6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18E8E0F2-60B0-4CC1-AACC-D44AA4E378CC}"/>
    <hyperlink ref="E180" r:id="rId6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8917088-AC77-43B6-A3B9-46E12999BDCB}"/>
    <hyperlink ref="E177" r:id="rId6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75D502E-8BE8-4E00-8FCE-464042C78D5A}"/>
    <hyperlink ref="E174" r:id="rId6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F92079E-0646-4E27-818A-AF3B9E1D6410}"/>
    <hyperlink ref="E171" r:id="rId6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7D94ACF-EBA4-4ED2-9D04-14F32AA901FE}"/>
    <hyperlink ref="E168" r:id="rId6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AC8286F8-0573-4AB8-8714-B1FEA3DBFBEB}"/>
    <hyperlink ref="E165" r:id="rId6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D1D53A45-4187-4E44-A929-276BBEF6B12B}"/>
    <hyperlink ref="E159" r:id="rId6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A38AFAF0-AE6C-49EC-8D5F-11D1555BFFBE}"/>
    <hyperlink ref="E156" r:id="rId6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0243F63E-41A0-43E4-AD5E-B703FE9248F1}"/>
    <hyperlink ref="E153" r:id="rId6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177B1772-2597-4E64-8064-60DC442F3E07}"/>
    <hyperlink ref="E150" r:id="rId7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5CEBA6D-B3D3-47EE-8DF6-18C5A871F323}"/>
    <hyperlink ref="E132" r:id="rId7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6756FB4-2020-4F5B-9462-A09287B50BE4}"/>
    <hyperlink ref="E129" r:id="rId7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8A051F3-264C-441D-A015-585C25248DAD}"/>
    <hyperlink ref="E126" r:id="rId7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C002CC2-DFA3-4230-92C8-854529E4E691}"/>
    <hyperlink ref="E123" r:id="rId7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DE58E7F-384E-49C2-9241-9A5A940546D1}"/>
    <hyperlink ref="E120" r:id="rId7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DBB0FA9-4B97-4B0A-9C5A-C7EF2AADFA85}"/>
    <hyperlink ref="E117" r:id="rId7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D5AA6FD-A655-49E6-A955-8BA638463069}"/>
    <hyperlink ref="E114" r:id="rId7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435DF87-89D6-42FB-9A8D-5CF6AE13F198}"/>
    <hyperlink ref="E111" r:id="rId7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E39EE8E-1B13-42E3-8190-6570283F90C9}"/>
    <hyperlink ref="E108" r:id="rId7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51071133-28FC-46A2-B93A-AA7A15D5A1F0}"/>
    <hyperlink ref="E105" r:id="rId8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A8B14A2-C9E3-4D26-925F-4CE5634F2DE9}"/>
    <hyperlink ref="E102" r:id="rId8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454908A-34FB-42BA-9456-39B7E714BCAF}"/>
    <hyperlink ref="E99" r:id="rId8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6B4E22A-C205-4E6F-AC35-4B385F46E071}"/>
    <hyperlink ref="E96" r:id="rId8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2DC52D0-346E-46F8-877B-7D6F80983561}"/>
    <hyperlink ref="E93" r:id="rId8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5F86C52-916C-4629-9BFC-095F8E8D9565}"/>
    <hyperlink ref="E90" r:id="rId8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1BD351F-CBCB-4D7C-AC1C-8EFADF59CE2C}"/>
    <hyperlink ref="E87" r:id="rId8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8959655-7C9C-43B8-92E3-DD58D611D13D}"/>
    <hyperlink ref="E84" r:id="rId8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B5A1F69-03B2-40F7-8E2C-20975665F465}"/>
    <hyperlink ref="E81" r:id="rId8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7A57205-C77F-4291-BB51-E3A632449FA3}"/>
    <hyperlink ref="E75" r:id="rId8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2DE9AC2-857A-4D32-9EF1-08D1EA227421}"/>
    <hyperlink ref="E72" r:id="rId9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5D333177-4329-4198-8D38-3356F7710126}"/>
    <hyperlink ref="E69" r:id="rId9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5892A98-3400-46FD-BE9D-C15E6AF35138}"/>
    <hyperlink ref="E66" r:id="rId9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B2B6835-830A-4FC9-A8BF-71D92B350F5E}"/>
    <hyperlink ref="E57" r:id="rId9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47DB7E5-F0CC-4879-87FB-E6FE90DF83AA}"/>
    <hyperlink ref="E54" r:id="rId9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50FBE6C6-D274-4313-A481-B72FB95F3F40}"/>
    <hyperlink ref="E51" r:id="rId9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5150C5E2-779E-49A6-86C5-E9E57E9B091B}"/>
    <hyperlink ref="E48" r:id="rId9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7C22939-361C-4B1C-8158-1D367EAFB129}"/>
    <hyperlink ref="E42" r:id="rId9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2ADD351-60E4-4774-A50B-2418C30FD803}"/>
    <hyperlink ref="E39" r:id="rId9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51441611-A251-4DB6-B423-63DBE6483902}"/>
    <hyperlink ref="E36" r:id="rId9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F26C833A-2FE9-4348-8393-036620EF5DF1}"/>
    <hyperlink ref="E33" r:id="rId10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482AF0A7-8C78-4005-A2F2-AACF4606DE93}"/>
    <hyperlink ref="E30" r:id="rId10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A9AC263A-142A-4B66-BFD8-0D679C34BF0D}"/>
    <hyperlink ref="E15" r:id="rId10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3954F90-4DC0-4B6B-BB61-EF2FB1DA8B2C}"/>
    <hyperlink ref="E9" r:id="rId10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E7A6E39-D938-4A08-AF9E-CBB739594198}"/>
    <hyperlink ref="E6" r:id="rId10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12AC1B9-D416-44BE-94CB-D7719BE45A8D}"/>
    <hyperlink ref="E3" r:id="rId10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A5A9B24-41BE-4A9A-A9CB-6A4B80897A49}"/>
    <hyperlink ref="E162" r:id="rId10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5024C15-FD23-470F-9566-C4128C7D26D5}"/>
    <hyperlink ref="E147" r:id="rId10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8EF6BA1-66C0-4300-8487-C6302488274C}"/>
    <hyperlink ref="E144" r:id="rId10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B0FFB03-2C3F-4F70-81B8-4210D99D8829}"/>
    <hyperlink ref="E141" r:id="rId10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F095C01-7B78-45D0-8BE6-79339BBB033B}"/>
    <hyperlink ref="E138" r:id="rId11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42B4416-067F-4DA8-B990-4B30FA8E18A1}"/>
    <hyperlink ref="E135" r:id="rId11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5F1836E-D4DE-47BE-8109-FAEC0B735B44}"/>
    <hyperlink ref="E45" r:id="rId11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33A77498-3204-4963-BE1B-46F2C869B1FB}"/>
    <hyperlink ref="E12" r:id="rId11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D3455FB-A37C-4BD8-B366-A4700BB8E311}"/>
    <hyperlink ref="E18" r:id="rId11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DA664BC-6901-44BA-9278-07F1C9AC8886}"/>
    <hyperlink ref="E21" r:id="rId11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C9531AB-B6A9-447A-9F18-1840A1055085}"/>
    <hyperlink ref="E78" r:id="rId11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7D5F21C-9AA5-469E-8910-114C421F379A}"/>
    <hyperlink ref="E27" r:id="rId11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B8924D7-F4EF-48D9-BE5E-FE58E1F4F262}"/>
    <hyperlink ref="E24" r:id="rId11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F0CCFA1-367B-488A-BDA3-405CA74188D4}"/>
    <hyperlink ref="E63" r:id="rId11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2D6D46B3-709B-4A52-AA68-BB2FC9EFA8BE}"/>
    <hyperlink ref="E60" r:id="rId12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34ABD513-9C30-4924-A112-D37E8F66CAC2}"/>
    <hyperlink ref="E181" r:id="rId12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255705D-C7A3-4224-8EE2-7237D1B187F2}"/>
    <hyperlink ref="E178" r:id="rId12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8955CD9-2A55-43A4-99F9-25C8E4D8DECB}"/>
    <hyperlink ref="E175" r:id="rId12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2CF1518-4DD2-4B1F-8735-C3BAC2FD7642}"/>
    <hyperlink ref="E172" r:id="rId12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976DAC5-C384-4D4F-8096-45C519BF84C6}"/>
    <hyperlink ref="E169" r:id="rId12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C06A82E-9261-4096-827D-ED7A2007467B}"/>
    <hyperlink ref="E166" r:id="rId12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08E6FEF-27BB-45DA-8368-8B4D520A1D7A}"/>
    <hyperlink ref="E160" r:id="rId12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90F8136-2E43-4321-A95C-08C8DBD1441F}"/>
    <hyperlink ref="E157" r:id="rId12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8FCCAE1-8B23-4976-AB17-A307D7ACCA70}"/>
    <hyperlink ref="E154" r:id="rId12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B7AF877-44A8-4156-B723-64B4027A6FB8}"/>
    <hyperlink ref="E151" r:id="rId13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34F59484-E944-4789-934A-ACDF3A65F2C4}"/>
    <hyperlink ref="E133" r:id="rId13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85AB018-4C1B-4C7F-AE21-0651AF064939}"/>
    <hyperlink ref="E130" r:id="rId13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1D72D4F-7E23-46A2-9BAE-E7C8F2104589}"/>
    <hyperlink ref="E127" r:id="rId13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0D2A9AA-593B-401B-B3FA-7368480B9E28}"/>
    <hyperlink ref="E124" r:id="rId13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B40D38A-96DB-4C65-AD8A-1E4F1BC09A39}"/>
    <hyperlink ref="E121" r:id="rId13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65D4A39-E473-4EED-BD25-D81B76C089F9}"/>
    <hyperlink ref="E118" r:id="rId13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E4C28BC-9824-4274-A79A-0F9C25F3466A}"/>
    <hyperlink ref="E115" r:id="rId13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3B27E577-89AA-44DC-BF87-6ECE680A4C80}"/>
    <hyperlink ref="E112" r:id="rId13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0F901D6-B0CF-4408-B352-59224C583ED7}"/>
    <hyperlink ref="E109" r:id="rId13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0CF4C5C-A83A-4B6D-A731-7D3C64585B69}"/>
    <hyperlink ref="E106" r:id="rId14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C283AEE-F191-47E6-8BC5-1821E407E058}"/>
    <hyperlink ref="E103" r:id="rId14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1AF94EA-BC2A-4CE8-92CA-70039FB9F1A8}"/>
    <hyperlink ref="E100" r:id="rId14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5FD113E-4277-4056-9D25-22E5865EBA5B}"/>
    <hyperlink ref="E97" r:id="rId14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1C7C4CF-F2BD-4041-BAE6-E801752C95D4}"/>
    <hyperlink ref="E94" r:id="rId14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8B4DE4E-6037-4908-B7BB-CE93817FD0B9}"/>
    <hyperlink ref="E91" r:id="rId14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3061380-0E44-43FB-B297-93CDFCFAE4D0}"/>
    <hyperlink ref="E88" r:id="rId14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23CDFE9C-EA21-4A00-BBA1-8341E6F808DF}"/>
    <hyperlink ref="E85" r:id="rId14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7F6974B-6E0A-449A-8FE6-5240D4B0EC70}"/>
    <hyperlink ref="E82" r:id="rId14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4CE966B-9172-421C-B388-F94624DE816B}"/>
    <hyperlink ref="E76" r:id="rId14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19B2F62-431A-4739-93F2-58EA4638D47A}"/>
    <hyperlink ref="E73" r:id="rId15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EED7FA7-DFA8-4152-9B9F-1C19978DF51B}"/>
    <hyperlink ref="E70" r:id="rId15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19FA1B3B-92D3-43B2-A8A1-81C9B4FBF2D1}"/>
    <hyperlink ref="E67" r:id="rId15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B94B1BC-C8AB-4DD0-824C-6600A20B2860}"/>
    <hyperlink ref="E58" r:id="rId15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0F12EA8-77E1-4F0B-8067-BCF0B5B9C791}"/>
    <hyperlink ref="E55" r:id="rId15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9D28C5E-2D00-47F4-804D-C2B806EFB9E6}"/>
    <hyperlink ref="E52" r:id="rId15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9240483-B983-493E-9E36-B84C443CBC9A}"/>
    <hyperlink ref="E49" r:id="rId15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1C16233-816B-46B4-ADA6-45B3D122B58B}"/>
    <hyperlink ref="E43" r:id="rId15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311A0640-26E3-47E8-A971-595A4180B926}"/>
    <hyperlink ref="E40" r:id="rId15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CB1C7D5-D74A-413D-8E45-CCFC4A89DA1F}"/>
    <hyperlink ref="E37" r:id="rId15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A69E81DF-BF18-4581-A18E-598138D14BB7}"/>
    <hyperlink ref="E34" r:id="rId16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E754140-80B3-479F-BDC8-4E95A97E65BD}"/>
    <hyperlink ref="E31" r:id="rId16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0463913-DF80-4A2C-90D7-375712AE741E}"/>
    <hyperlink ref="E16" r:id="rId16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1E83EF90-70A0-48A4-90E9-3AC27467F9A3}"/>
    <hyperlink ref="E10" r:id="rId16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84173FC-0A3C-4742-88E3-4670357B6E83}"/>
    <hyperlink ref="E7" r:id="rId16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1B024F4-728F-475D-A013-BCAC0476DDF2}"/>
    <hyperlink ref="E4" r:id="rId16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AEC1FD9-7C79-449C-B0FB-19039BB64647}"/>
    <hyperlink ref="E163" r:id="rId16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F9D6C7F-37F8-4842-BDBA-30A46D37C16B}"/>
    <hyperlink ref="E148" r:id="rId16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8F70242-4E62-493E-8FC2-57E3FD7147B9}"/>
    <hyperlink ref="E145" r:id="rId16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135C3E2D-A8B8-4DB4-80AF-561EA55B0B87}"/>
    <hyperlink ref="E142" r:id="rId16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39E49E6-FD8F-4F32-8F52-344CCBA142CA}"/>
    <hyperlink ref="E139" r:id="rId17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A8063C1-117F-4F81-91C2-6D5C06105CAD}"/>
    <hyperlink ref="E136" r:id="rId17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A7E2628-9CD6-4BAD-B26B-4AF422682C9A}"/>
    <hyperlink ref="E46" r:id="rId17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F0AFE9E-36F5-45BA-897E-D1728A7C8621}"/>
    <hyperlink ref="E13" r:id="rId17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A2F21F2C-2877-4E15-A099-67E6F5FA7BAD}"/>
    <hyperlink ref="E19" r:id="rId17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03DC33E-64B4-4BC3-A5CE-C72BFDEB5BA7}"/>
    <hyperlink ref="E22" r:id="rId17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FC64C77-1E00-489B-BF83-71ECFC0416F1}"/>
    <hyperlink ref="E79" r:id="rId17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5F0E6BC-4CA9-4814-B9EF-EC585CC15334}"/>
    <hyperlink ref="E28" r:id="rId17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31E01EA-22D7-4B76-8959-7408A3AAF891}"/>
    <hyperlink ref="E25" r:id="rId17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35CC15F-E54C-46E5-B758-EC03BE1ABA38}"/>
    <hyperlink ref="E64" r:id="rId17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217C6D2-F301-435A-9D8A-1858BF9063F2}"/>
    <hyperlink ref="E61" r:id="rId18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AABF94E-2BA7-4F67-867B-DA79A084540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F4DF-3250-44A6-AC52-29645AC84486}">
  <dimension ref="A1:L121"/>
  <sheetViews>
    <sheetView workbookViewId="0">
      <selection activeCell="H123" sqref="H123"/>
    </sheetView>
  </sheetViews>
  <sheetFormatPr defaultRowHeight="15.75"/>
  <cols>
    <col min="1" max="1" width="24.5" bestFit="1" customWidth="1"/>
    <col min="2" max="2" width="47.375" bestFit="1" customWidth="1"/>
    <col min="3" max="3" width="23.5" bestFit="1" customWidth="1"/>
    <col min="4" max="4" width="27.625" bestFit="1" customWidth="1"/>
    <col min="5" max="5" width="16.375" bestFit="1" customWidth="1"/>
    <col min="6" max="6" width="18.375" bestFit="1" customWidth="1"/>
    <col min="7" max="7" width="14.25" bestFit="1" customWidth="1"/>
    <col min="8" max="8" width="18.375" bestFit="1" customWidth="1"/>
    <col min="9" max="9" width="14.25" bestFit="1" customWidth="1"/>
    <col min="10" max="10" width="18.375" bestFit="1" customWidth="1"/>
    <col min="11" max="11" width="14.25" bestFit="1" customWidth="1"/>
    <col min="12" max="12" width="20.75" bestFit="1" customWidth="1"/>
  </cols>
  <sheetData>
    <row r="1" spans="1:12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</row>
    <row r="2" spans="1:12">
      <c r="A2" s="4" t="s">
        <v>51</v>
      </c>
      <c r="B2" s="4" t="s">
        <v>52</v>
      </c>
      <c r="C2" s="14" t="s">
        <v>157</v>
      </c>
      <c r="D2" s="4" t="s">
        <v>158</v>
      </c>
      <c r="E2" s="3" t="s">
        <v>143</v>
      </c>
      <c r="F2" s="4">
        <v>0</v>
      </c>
      <c r="G2" s="4">
        <v>0</v>
      </c>
      <c r="H2" s="4">
        <v>24</v>
      </c>
      <c r="I2" s="4">
        <v>48</v>
      </c>
      <c r="J2" s="4">
        <v>0</v>
      </c>
      <c r="K2" s="4">
        <v>0</v>
      </c>
      <c r="L2" s="4" t="s">
        <v>183</v>
      </c>
    </row>
    <row r="3" spans="1:12">
      <c r="A3" s="4" t="s">
        <v>51</v>
      </c>
      <c r="B3" s="4" t="s">
        <v>52</v>
      </c>
      <c r="C3" s="14" t="s">
        <v>157</v>
      </c>
      <c r="D3" s="4" t="s">
        <v>158</v>
      </c>
      <c r="E3" s="3" t="s">
        <v>143</v>
      </c>
      <c r="F3" s="4">
        <v>0</v>
      </c>
      <c r="G3" s="4">
        <v>0</v>
      </c>
      <c r="H3" s="4">
        <v>24</v>
      </c>
      <c r="I3" s="4">
        <v>24</v>
      </c>
      <c r="J3" s="4">
        <v>0</v>
      </c>
      <c r="K3" s="4">
        <v>0</v>
      </c>
      <c r="L3" s="4" t="s">
        <v>228</v>
      </c>
    </row>
    <row r="4" spans="1:12">
      <c r="A4" s="9" t="s">
        <v>53</v>
      </c>
      <c r="B4" s="9" t="s">
        <v>54</v>
      </c>
      <c r="C4" s="15" t="s">
        <v>157</v>
      </c>
      <c r="D4" s="9" t="s">
        <v>158</v>
      </c>
      <c r="E4" s="8" t="s">
        <v>143</v>
      </c>
      <c r="F4" s="9">
        <v>0</v>
      </c>
      <c r="G4" s="9">
        <v>0</v>
      </c>
      <c r="H4" s="9">
        <v>8</v>
      </c>
      <c r="I4" s="9">
        <v>16</v>
      </c>
      <c r="J4" s="9">
        <v>0</v>
      </c>
      <c r="K4" s="9">
        <v>0</v>
      </c>
      <c r="L4" s="9" t="s">
        <v>183</v>
      </c>
    </row>
    <row r="5" spans="1:12">
      <c r="A5" s="9" t="s">
        <v>53</v>
      </c>
      <c r="B5" s="9" t="s">
        <v>54</v>
      </c>
      <c r="C5" s="15" t="s">
        <v>157</v>
      </c>
      <c r="D5" s="9" t="s">
        <v>158</v>
      </c>
      <c r="E5" s="8" t="s">
        <v>143</v>
      </c>
      <c r="F5" s="9">
        <v>0</v>
      </c>
      <c r="G5" s="9">
        <v>0</v>
      </c>
      <c r="H5" s="9">
        <v>8</v>
      </c>
      <c r="I5" s="9">
        <v>8</v>
      </c>
      <c r="J5" s="9">
        <v>0</v>
      </c>
      <c r="K5" s="9">
        <v>0</v>
      </c>
      <c r="L5" s="9" t="s">
        <v>227</v>
      </c>
    </row>
    <row r="6" spans="1:12">
      <c r="A6" s="4" t="s">
        <v>55</v>
      </c>
      <c r="B6" s="4" t="s">
        <v>56</v>
      </c>
      <c r="C6" s="14" t="s">
        <v>157</v>
      </c>
      <c r="D6" s="4" t="s">
        <v>158</v>
      </c>
      <c r="E6" s="3" t="s">
        <v>143</v>
      </c>
      <c r="F6" s="4">
        <v>0</v>
      </c>
      <c r="G6" s="4">
        <v>0</v>
      </c>
      <c r="H6" s="4">
        <v>36</v>
      </c>
      <c r="I6" s="4">
        <v>72</v>
      </c>
      <c r="J6" s="4">
        <v>0</v>
      </c>
      <c r="K6" s="4">
        <v>0</v>
      </c>
      <c r="L6" s="4" t="s">
        <v>183</v>
      </c>
    </row>
    <row r="7" spans="1:12">
      <c r="A7" s="4" t="s">
        <v>55</v>
      </c>
      <c r="B7" s="4" t="s">
        <v>56</v>
      </c>
      <c r="C7" s="14" t="s">
        <v>157</v>
      </c>
      <c r="D7" s="4" t="s">
        <v>158</v>
      </c>
      <c r="E7" s="3" t="s">
        <v>143</v>
      </c>
      <c r="F7" s="4">
        <v>0</v>
      </c>
      <c r="G7" s="4">
        <v>0</v>
      </c>
      <c r="H7" s="4">
        <v>36</v>
      </c>
      <c r="I7" s="4">
        <v>36</v>
      </c>
      <c r="J7" s="4">
        <v>0</v>
      </c>
      <c r="K7" s="4">
        <v>0</v>
      </c>
      <c r="L7" s="4" t="s">
        <v>226</v>
      </c>
    </row>
    <row r="8" spans="1:12">
      <c r="A8" s="4" t="s">
        <v>35</v>
      </c>
      <c r="B8" s="4" t="s">
        <v>36</v>
      </c>
      <c r="C8" s="14" t="s">
        <v>157</v>
      </c>
      <c r="D8" s="4" t="s">
        <v>158</v>
      </c>
      <c r="E8" s="3" t="s">
        <v>143</v>
      </c>
      <c r="F8" s="4">
        <v>0</v>
      </c>
      <c r="G8" s="4">
        <v>0</v>
      </c>
      <c r="H8" s="4">
        <v>72</v>
      </c>
      <c r="I8" s="4">
        <v>144</v>
      </c>
      <c r="J8" s="4">
        <v>0</v>
      </c>
      <c r="K8" s="4">
        <v>0</v>
      </c>
      <c r="L8" s="4" t="s">
        <v>187</v>
      </c>
    </row>
    <row r="9" spans="1:12">
      <c r="A9" s="4" t="s">
        <v>35</v>
      </c>
      <c r="B9" s="4" t="s">
        <v>36</v>
      </c>
      <c r="C9" s="14" t="s">
        <v>157</v>
      </c>
      <c r="D9" s="4" t="s">
        <v>158</v>
      </c>
      <c r="E9" s="3" t="s">
        <v>143</v>
      </c>
      <c r="F9" s="4">
        <v>0</v>
      </c>
      <c r="G9" s="4">
        <v>0</v>
      </c>
      <c r="H9" s="4">
        <v>72</v>
      </c>
      <c r="I9" s="4">
        <v>72</v>
      </c>
      <c r="J9" s="4">
        <v>0</v>
      </c>
      <c r="K9" s="4">
        <v>0</v>
      </c>
      <c r="L9" s="4" t="s">
        <v>235</v>
      </c>
    </row>
    <row r="10" spans="1:12">
      <c r="A10" s="9" t="s">
        <v>57</v>
      </c>
      <c r="B10" s="9" t="s">
        <v>58</v>
      </c>
      <c r="C10" s="15" t="s">
        <v>157</v>
      </c>
      <c r="D10" s="9" t="s">
        <v>158</v>
      </c>
      <c r="E10" s="8" t="s">
        <v>143</v>
      </c>
      <c r="F10" s="9">
        <v>0</v>
      </c>
      <c r="G10" s="9">
        <v>0</v>
      </c>
      <c r="H10" s="9">
        <v>8</v>
      </c>
      <c r="I10" s="9">
        <v>16</v>
      </c>
      <c r="J10" s="9">
        <v>0</v>
      </c>
      <c r="K10" s="9">
        <v>0</v>
      </c>
      <c r="L10" s="9" t="s">
        <v>182</v>
      </c>
    </row>
    <row r="11" spans="1:12">
      <c r="A11" s="9" t="s">
        <v>57</v>
      </c>
      <c r="B11" s="9" t="s">
        <v>58</v>
      </c>
      <c r="C11" s="15" t="s">
        <v>157</v>
      </c>
      <c r="D11" s="9" t="s">
        <v>158</v>
      </c>
      <c r="E11" s="8" t="s">
        <v>143</v>
      </c>
      <c r="F11" s="9">
        <v>0</v>
      </c>
      <c r="G11" s="9">
        <v>0</v>
      </c>
      <c r="H11" s="9">
        <v>8</v>
      </c>
      <c r="I11" s="9">
        <v>8</v>
      </c>
      <c r="J11" s="9">
        <v>0</v>
      </c>
      <c r="K11" s="9">
        <v>0</v>
      </c>
      <c r="L11" s="9" t="s">
        <v>225</v>
      </c>
    </row>
    <row r="12" spans="1:12">
      <c r="A12" s="9" t="s">
        <v>33</v>
      </c>
      <c r="B12" s="9" t="s">
        <v>34</v>
      </c>
      <c r="C12" s="15" t="s">
        <v>157</v>
      </c>
      <c r="D12" s="9" t="s">
        <v>158</v>
      </c>
      <c r="E12" s="8" t="s">
        <v>143</v>
      </c>
      <c r="F12" s="9">
        <v>0</v>
      </c>
      <c r="G12" s="9">
        <v>0</v>
      </c>
      <c r="H12" s="9">
        <v>48</v>
      </c>
      <c r="I12" s="9">
        <v>96</v>
      </c>
      <c r="J12" s="9">
        <v>0</v>
      </c>
      <c r="K12" s="9">
        <v>0</v>
      </c>
      <c r="L12" s="9" t="s">
        <v>187</v>
      </c>
    </row>
    <row r="13" spans="1:12">
      <c r="A13" s="9" t="s">
        <v>33</v>
      </c>
      <c r="B13" s="9" t="s">
        <v>34</v>
      </c>
      <c r="C13" s="15" t="s">
        <v>157</v>
      </c>
      <c r="D13" s="9" t="s">
        <v>158</v>
      </c>
      <c r="E13" s="8" t="s">
        <v>143</v>
      </c>
      <c r="F13" s="9">
        <v>0</v>
      </c>
      <c r="G13" s="9">
        <v>0</v>
      </c>
      <c r="H13" s="9">
        <v>48</v>
      </c>
      <c r="I13" s="9">
        <v>48</v>
      </c>
      <c r="J13" s="9">
        <v>0</v>
      </c>
      <c r="K13" s="9">
        <v>0</v>
      </c>
      <c r="L13" s="9" t="s">
        <v>236</v>
      </c>
    </row>
    <row r="14" spans="1:12">
      <c r="A14" s="4" t="s">
        <v>30</v>
      </c>
      <c r="B14" s="4" t="s">
        <v>31</v>
      </c>
      <c r="C14" s="14" t="s">
        <v>157</v>
      </c>
      <c r="D14" s="4" t="s">
        <v>158</v>
      </c>
      <c r="E14" s="3" t="s">
        <v>143</v>
      </c>
      <c r="F14" s="4">
        <v>0</v>
      </c>
      <c r="G14" s="4">
        <v>0</v>
      </c>
      <c r="H14" s="4">
        <v>48</v>
      </c>
      <c r="I14" s="4">
        <v>96</v>
      </c>
      <c r="J14" s="4">
        <v>0</v>
      </c>
      <c r="K14" s="4">
        <v>0</v>
      </c>
      <c r="L14" s="4" t="s">
        <v>187</v>
      </c>
    </row>
    <row r="15" spans="1:12">
      <c r="A15" s="4" t="s">
        <v>30</v>
      </c>
      <c r="B15" s="4" t="s">
        <v>31</v>
      </c>
      <c r="C15" s="14" t="s">
        <v>157</v>
      </c>
      <c r="D15" s="4" t="s">
        <v>158</v>
      </c>
      <c r="E15" s="3" t="s">
        <v>143</v>
      </c>
      <c r="F15" s="4">
        <v>0</v>
      </c>
      <c r="G15" s="4">
        <v>0</v>
      </c>
      <c r="H15" s="4">
        <v>48</v>
      </c>
      <c r="I15" s="4">
        <v>48</v>
      </c>
      <c r="J15" s="4">
        <v>0</v>
      </c>
      <c r="K15" s="4">
        <v>0</v>
      </c>
      <c r="L15" s="4" t="s">
        <v>237</v>
      </c>
    </row>
    <row r="16" spans="1:12">
      <c r="A16" s="9" t="s">
        <v>23</v>
      </c>
      <c r="B16" s="9" t="s">
        <v>24</v>
      </c>
      <c r="C16" s="15" t="s">
        <v>157</v>
      </c>
      <c r="D16" s="9" t="s">
        <v>158</v>
      </c>
      <c r="E16" s="8" t="s">
        <v>143</v>
      </c>
      <c r="F16" s="9">
        <v>0</v>
      </c>
      <c r="G16" s="9">
        <v>0</v>
      </c>
      <c r="H16" s="9">
        <v>12</v>
      </c>
      <c r="I16" s="9">
        <v>24</v>
      </c>
      <c r="J16" s="9">
        <v>0</v>
      </c>
      <c r="K16" s="9">
        <v>0</v>
      </c>
      <c r="L16" s="9" t="s">
        <v>188</v>
      </c>
    </row>
    <row r="17" spans="1:12">
      <c r="A17" s="9" t="s">
        <v>23</v>
      </c>
      <c r="B17" s="9" t="s">
        <v>24</v>
      </c>
      <c r="C17" s="15" t="s">
        <v>157</v>
      </c>
      <c r="D17" s="9" t="s">
        <v>158</v>
      </c>
      <c r="E17" s="8" t="s">
        <v>143</v>
      </c>
      <c r="F17" s="9">
        <v>0</v>
      </c>
      <c r="G17" s="9">
        <v>0</v>
      </c>
      <c r="H17" s="9">
        <v>12</v>
      </c>
      <c r="I17" s="9">
        <v>12</v>
      </c>
      <c r="J17" s="9">
        <v>0</v>
      </c>
      <c r="K17" s="9">
        <v>0</v>
      </c>
      <c r="L17" s="9" t="s">
        <v>240</v>
      </c>
    </row>
    <row r="18" spans="1:12">
      <c r="A18" s="4" t="s">
        <v>26</v>
      </c>
      <c r="B18" s="4" t="s">
        <v>27</v>
      </c>
      <c r="C18" s="14" t="s">
        <v>157</v>
      </c>
      <c r="D18" s="4" t="s">
        <v>158</v>
      </c>
      <c r="E18" s="3" t="s">
        <v>143</v>
      </c>
      <c r="F18" s="4">
        <v>0</v>
      </c>
      <c r="G18" s="4">
        <v>0</v>
      </c>
      <c r="H18" s="4">
        <v>24</v>
      </c>
      <c r="I18" s="4">
        <v>48</v>
      </c>
      <c r="J18" s="4">
        <v>0</v>
      </c>
      <c r="K18" s="4">
        <v>0</v>
      </c>
      <c r="L18" s="4" t="s">
        <v>188</v>
      </c>
    </row>
    <row r="19" spans="1:12">
      <c r="A19" s="4" t="s">
        <v>26</v>
      </c>
      <c r="B19" s="4" t="s">
        <v>27</v>
      </c>
      <c r="C19" s="14" t="s">
        <v>157</v>
      </c>
      <c r="D19" s="4" t="s">
        <v>158</v>
      </c>
      <c r="E19" s="3" t="s">
        <v>143</v>
      </c>
      <c r="F19" s="4">
        <v>0</v>
      </c>
      <c r="G19" s="4">
        <v>0</v>
      </c>
      <c r="H19" s="4">
        <v>24</v>
      </c>
      <c r="I19" s="4">
        <v>24</v>
      </c>
      <c r="J19" s="4">
        <v>0</v>
      </c>
      <c r="K19" s="4">
        <v>0</v>
      </c>
      <c r="L19" s="4" t="s">
        <v>239</v>
      </c>
    </row>
    <row r="20" spans="1:12">
      <c r="A20" s="4" t="s">
        <v>59</v>
      </c>
      <c r="B20" s="4" t="s">
        <v>60</v>
      </c>
      <c r="C20" s="14" t="s">
        <v>157</v>
      </c>
      <c r="D20" s="4" t="s">
        <v>158</v>
      </c>
      <c r="E20" s="3" t="s">
        <v>143</v>
      </c>
      <c r="F20" s="4">
        <v>0</v>
      </c>
      <c r="G20" s="4">
        <v>0</v>
      </c>
      <c r="H20" s="4">
        <v>12</v>
      </c>
      <c r="I20" s="4">
        <v>24</v>
      </c>
      <c r="J20" s="4">
        <v>0</v>
      </c>
      <c r="K20" s="4">
        <v>0</v>
      </c>
      <c r="L20" s="4" t="s">
        <v>181</v>
      </c>
    </row>
    <row r="21" spans="1:12">
      <c r="A21" s="4" t="s">
        <v>59</v>
      </c>
      <c r="B21" s="4" t="s">
        <v>60</v>
      </c>
      <c r="C21" s="14" t="s">
        <v>157</v>
      </c>
      <c r="D21" s="4" t="s">
        <v>158</v>
      </c>
      <c r="E21" s="3" t="s">
        <v>143</v>
      </c>
      <c r="F21" s="4">
        <v>0</v>
      </c>
      <c r="G21" s="4">
        <v>0</v>
      </c>
      <c r="H21" s="4">
        <v>12</v>
      </c>
      <c r="I21" s="4">
        <v>12</v>
      </c>
      <c r="J21" s="4">
        <v>0</v>
      </c>
      <c r="K21" s="4">
        <v>0</v>
      </c>
      <c r="L21" s="4" t="s">
        <v>224</v>
      </c>
    </row>
    <row r="22" spans="1:12" ht="30">
      <c r="A22" s="9" t="s">
        <v>61</v>
      </c>
      <c r="B22" s="9" t="s">
        <v>62</v>
      </c>
      <c r="C22" s="15" t="s">
        <v>157</v>
      </c>
      <c r="D22" s="9" t="s">
        <v>158</v>
      </c>
      <c r="E22" s="8" t="s">
        <v>143</v>
      </c>
      <c r="F22" s="9">
        <v>0</v>
      </c>
      <c r="G22" s="9">
        <v>0</v>
      </c>
      <c r="H22" s="9">
        <v>9</v>
      </c>
      <c r="I22" s="9">
        <v>18</v>
      </c>
      <c r="J22" s="9">
        <v>0</v>
      </c>
      <c r="K22" s="9">
        <v>0</v>
      </c>
      <c r="L22" s="9" t="s">
        <v>180</v>
      </c>
    </row>
    <row r="23" spans="1:12" ht="30">
      <c r="A23" s="9" t="s">
        <v>61</v>
      </c>
      <c r="B23" s="9" t="s">
        <v>62</v>
      </c>
      <c r="C23" s="15" t="s">
        <v>157</v>
      </c>
      <c r="D23" s="9" t="s">
        <v>158</v>
      </c>
      <c r="E23" s="8" t="s">
        <v>143</v>
      </c>
      <c r="F23" s="9">
        <v>0</v>
      </c>
      <c r="G23" s="9">
        <v>0</v>
      </c>
      <c r="H23" s="9">
        <v>9</v>
      </c>
      <c r="I23" s="9">
        <v>9</v>
      </c>
      <c r="J23" s="9">
        <v>0</v>
      </c>
      <c r="K23" s="9">
        <v>0</v>
      </c>
      <c r="L23" s="9" t="s">
        <v>224</v>
      </c>
    </row>
    <row r="24" spans="1:12" ht="30">
      <c r="A24" s="4" t="s">
        <v>63</v>
      </c>
      <c r="B24" s="4" t="s">
        <v>64</v>
      </c>
      <c r="C24" s="14" t="s">
        <v>157</v>
      </c>
      <c r="D24" s="4" t="s">
        <v>158</v>
      </c>
      <c r="E24" s="3" t="s">
        <v>143</v>
      </c>
      <c r="F24" s="4">
        <v>0</v>
      </c>
      <c r="G24" s="4">
        <v>0</v>
      </c>
      <c r="H24" s="4">
        <v>10</v>
      </c>
      <c r="I24" s="4">
        <v>20</v>
      </c>
      <c r="J24" s="4">
        <v>0</v>
      </c>
      <c r="K24" s="4">
        <v>0</v>
      </c>
      <c r="L24" s="4" t="s">
        <v>180</v>
      </c>
    </row>
    <row r="25" spans="1:12" ht="30">
      <c r="A25" s="4" t="s">
        <v>63</v>
      </c>
      <c r="B25" s="4" t="s">
        <v>64</v>
      </c>
      <c r="C25" s="14" t="s">
        <v>157</v>
      </c>
      <c r="D25" s="4" t="s">
        <v>158</v>
      </c>
      <c r="E25" s="3" t="s">
        <v>143</v>
      </c>
      <c r="F25" s="4">
        <v>0</v>
      </c>
      <c r="G25" s="4">
        <v>0</v>
      </c>
      <c r="H25" s="4">
        <v>10</v>
      </c>
      <c r="I25" s="4">
        <v>10</v>
      </c>
      <c r="J25" s="4">
        <v>0</v>
      </c>
      <c r="K25" s="4">
        <v>0</v>
      </c>
      <c r="L25" s="4" t="s">
        <v>223</v>
      </c>
    </row>
    <row r="26" spans="1:12">
      <c r="A26" s="9" t="s">
        <v>65</v>
      </c>
      <c r="B26" s="9" t="s">
        <v>66</v>
      </c>
      <c r="C26" s="15" t="s">
        <v>157</v>
      </c>
      <c r="D26" s="9" t="s">
        <v>158</v>
      </c>
      <c r="E26" s="8" t="s">
        <v>143</v>
      </c>
      <c r="F26" s="9">
        <v>0</v>
      </c>
      <c r="G26" s="9">
        <v>0</v>
      </c>
      <c r="H26" s="9">
        <v>40</v>
      </c>
      <c r="I26" s="9">
        <v>80</v>
      </c>
      <c r="J26" s="9">
        <v>0</v>
      </c>
      <c r="K26" s="9">
        <v>0</v>
      </c>
      <c r="L26" s="9" t="s">
        <v>179</v>
      </c>
    </row>
    <row r="27" spans="1:12">
      <c r="A27" s="9" t="s">
        <v>65</v>
      </c>
      <c r="B27" s="9" t="s">
        <v>66</v>
      </c>
      <c r="C27" s="15" t="s">
        <v>157</v>
      </c>
      <c r="D27" s="9" t="s">
        <v>158</v>
      </c>
      <c r="E27" s="8" t="s">
        <v>143</v>
      </c>
      <c r="F27" s="9">
        <v>0</v>
      </c>
      <c r="G27" s="9">
        <v>0</v>
      </c>
      <c r="H27" s="9">
        <v>40</v>
      </c>
      <c r="I27" s="9">
        <v>40</v>
      </c>
      <c r="J27" s="9">
        <v>0</v>
      </c>
      <c r="K27" s="9">
        <v>0</v>
      </c>
      <c r="L27" s="9" t="s">
        <v>222</v>
      </c>
    </row>
    <row r="28" spans="1:12">
      <c r="A28" s="4" t="s">
        <v>67</v>
      </c>
      <c r="B28" s="4" t="s">
        <v>68</v>
      </c>
      <c r="C28" s="14" t="s">
        <v>157</v>
      </c>
      <c r="D28" s="4" t="s">
        <v>158</v>
      </c>
      <c r="E28" s="3" t="s">
        <v>143</v>
      </c>
      <c r="F28" s="4">
        <v>0</v>
      </c>
      <c r="G28" s="4">
        <v>0</v>
      </c>
      <c r="H28" s="4">
        <v>30</v>
      </c>
      <c r="I28" s="4">
        <v>60</v>
      </c>
      <c r="J28" s="4">
        <v>0</v>
      </c>
      <c r="K28" s="4">
        <v>0</v>
      </c>
      <c r="L28" s="4" t="s">
        <v>178</v>
      </c>
    </row>
    <row r="29" spans="1:12">
      <c r="A29" s="4" t="s">
        <v>67</v>
      </c>
      <c r="B29" s="4" t="s">
        <v>68</v>
      </c>
      <c r="C29" s="14" t="s">
        <v>157</v>
      </c>
      <c r="D29" s="4" t="s">
        <v>158</v>
      </c>
      <c r="E29" s="3" t="s">
        <v>143</v>
      </c>
      <c r="F29" s="4">
        <v>0</v>
      </c>
      <c r="G29" s="4">
        <v>0</v>
      </c>
      <c r="H29" s="4">
        <v>30</v>
      </c>
      <c r="I29" s="4">
        <v>30</v>
      </c>
      <c r="J29" s="4">
        <v>0</v>
      </c>
      <c r="K29" s="4">
        <v>0</v>
      </c>
      <c r="L29" s="4" t="s">
        <v>221</v>
      </c>
    </row>
    <row r="30" spans="1:12">
      <c r="A30" s="9" t="s">
        <v>37</v>
      </c>
      <c r="B30" s="9" t="s">
        <v>38</v>
      </c>
      <c r="C30" s="15" t="s">
        <v>157</v>
      </c>
      <c r="D30" s="9" t="s">
        <v>158</v>
      </c>
      <c r="E30" s="8" t="s">
        <v>143</v>
      </c>
      <c r="F30" s="9">
        <v>0</v>
      </c>
      <c r="G30" s="9">
        <v>0</v>
      </c>
      <c r="H30" s="9">
        <v>84</v>
      </c>
      <c r="I30" s="9">
        <v>168</v>
      </c>
      <c r="J30" s="9">
        <v>0</v>
      </c>
      <c r="K30" s="9">
        <v>0</v>
      </c>
      <c r="L30" s="9" t="s">
        <v>186</v>
      </c>
    </row>
    <row r="31" spans="1:12">
      <c r="A31" s="9" t="s">
        <v>37</v>
      </c>
      <c r="B31" s="9" t="s">
        <v>38</v>
      </c>
      <c r="C31" s="15" t="s">
        <v>157</v>
      </c>
      <c r="D31" s="9" t="s">
        <v>158</v>
      </c>
      <c r="E31" s="8" t="s">
        <v>143</v>
      </c>
      <c r="F31" s="9">
        <v>0</v>
      </c>
      <c r="G31" s="9">
        <v>0</v>
      </c>
      <c r="H31" s="9">
        <v>84</v>
      </c>
      <c r="I31" s="9">
        <v>84</v>
      </c>
      <c r="J31" s="9">
        <v>0</v>
      </c>
      <c r="K31" s="9">
        <v>0</v>
      </c>
      <c r="L31" s="9" t="s">
        <v>234</v>
      </c>
    </row>
    <row r="32" spans="1:12">
      <c r="A32" s="9" t="s">
        <v>69</v>
      </c>
      <c r="B32" s="9" t="s">
        <v>70</v>
      </c>
      <c r="C32" s="15" t="s">
        <v>157</v>
      </c>
      <c r="D32" s="9" t="s">
        <v>158</v>
      </c>
      <c r="E32" s="8" t="s">
        <v>143</v>
      </c>
      <c r="F32" s="9">
        <v>0</v>
      </c>
      <c r="G32" s="9">
        <v>0</v>
      </c>
      <c r="H32" s="9">
        <v>12</v>
      </c>
      <c r="I32" s="9">
        <v>24</v>
      </c>
      <c r="J32" s="9">
        <v>0</v>
      </c>
      <c r="K32" s="9">
        <v>0</v>
      </c>
      <c r="L32" s="9" t="s">
        <v>178</v>
      </c>
    </row>
    <row r="33" spans="1:12">
      <c r="A33" s="9" t="s">
        <v>69</v>
      </c>
      <c r="B33" s="9" t="s">
        <v>70</v>
      </c>
      <c r="C33" s="15" t="s">
        <v>157</v>
      </c>
      <c r="D33" s="9" t="s">
        <v>158</v>
      </c>
      <c r="E33" s="8" t="s">
        <v>143</v>
      </c>
      <c r="F33" s="9">
        <v>0</v>
      </c>
      <c r="G33" s="9">
        <v>0</v>
      </c>
      <c r="H33" s="9">
        <v>12</v>
      </c>
      <c r="I33" s="9">
        <v>12</v>
      </c>
      <c r="J33" s="9">
        <v>0</v>
      </c>
      <c r="K33" s="9">
        <v>0</v>
      </c>
      <c r="L33" s="9" t="s">
        <v>221</v>
      </c>
    </row>
    <row r="34" spans="1:12" ht="45">
      <c r="A34" s="4" t="s">
        <v>71</v>
      </c>
      <c r="B34" s="4" t="s">
        <v>72</v>
      </c>
      <c r="C34" s="14" t="s">
        <v>157</v>
      </c>
      <c r="D34" s="4" t="s">
        <v>158</v>
      </c>
      <c r="E34" s="3" t="s">
        <v>143</v>
      </c>
      <c r="F34" s="4">
        <v>0</v>
      </c>
      <c r="G34" s="4">
        <v>0</v>
      </c>
      <c r="H34" s="4">
        <v>12</v>
      </c>
      <c r="I34" s="4">
        <v>24</v>
      </c>
      <c r="J34" s="4">
        <v>0</v>
      </c>
      <c r="K34" s="4">
        <v>0</v>
      </c>
      <c r="L34" s="4" t="s">
        <v>177</v>
      </c>
    </row>
    <row r="35" spans="1:12" ht="45">
      <c r="A35" s="4" t="s">
        <v>71</v>
      </c>
      <c r="B35" s="4" t="s">
        <v>72</v>
      </c>
      <c r="C35" s="14" t="s">
        <v>157</v>
      </c>
      <c r="D35" s="4" t="s">
        <v>158</v>
      </c>
      <c r="E35" s="3" t="s">
        <v>143</v>
      </c>
      <c r="F35" s="4">
        <v>0</v>
      </c>
      <c r="G35" s="4">
        <v>0</v>
      </c>
      <c r="H35" s="4">
        <v>12</v>
      </c>
      <c r="I35" s="4">
        <v>12</v>
      </c>
      <c r="J35" s="4">
        <v>0</v>
      </c>
      <c r="K35" s="4">
        <v>0</v>
      </c>
      <c r="L35" s="4" t="s">
        <v>220</v>
      </c>
    </row>
    <row r="36" spans="1:12">
      <c r="A36" s="9" t="s">
        <v>73</v>
      </c>
      <c r="B36" s="9" t="s">
        <v>74</v>
      </c>
      <c r="C36" s="15" t="s">
        <v>157</v>
      </c>
      <c r="D36" s="9" t="s">
        <v>158</v>
      </c>
      <c r="E36" s="8" t="s">
        <v>143</v>
      </c>
      <c r="F36" s="9">
        <v>0</v>
      </c>
      <c r="G36" s="9">
        <v>0</v>
      </c>
      <c r="H36" s="9">
        <v>12</v>
      </c>
      <c r="I36" s="9">
        <v>24</v>
      </c>
      <c r="J36" s="9">
        <v>0</v>
      </c>
      <c r="K36" s="9">
        <v>0</v>
      </c>
      <c r="L36" s="9" t="s">
        <v>176</v>
      </c>
    </row>
    <row r="37" spans="1:12">
      <c r="A37" s="9" t="s">
        <v>73</v>
      </c>
      <c r="B37" s="9" t="s">
        <v>74</v>
      </c>
      <c r="C37" s="15" t="s">
        <v>157</v>
      </c>
      <c r="D37" s="9" t="s">
        <v>158</v>
      </c>
      <c r="E37" s="8" t="s">
        <v>143</v>
      </c>
      <c r="F37" s="9">
        <v>0</v>
      </c>
      <c r="G37" s="9">
        <v>0</v>
      </c>
      <c r="H37" s="9">
        <v>12</v>
      </c>
      <c r="I37" s="9">
        <v>12</v>
      </c>
      <c r="J37" s="9">
        <v>0</v>
      </c>
      <c r="K37" s="9">
        <v>0</v>
      </c>
      <c r="L37" s="9" t="s">
        <v>219</v>
      </c>
    </row>
    <row r="38" spans="1:12">
      <c r="A38" s="4" t="s">
        <v>75</v>
      </c>
      <c r="B38" s="4" t="s">
        <v>76</v>
      </c>
      <c r="C38" s="14" t="s">
        <v>157</v>
      </c>
      <c r="D38" s="4" t="s">
        <v>158</v>
      </c>
      <c r="E38" s="3" t="s">
        <v>143</v>
      </c>
      <c r="F38" s="4">
        <v>0</v>
      </c>
      <c r="G38" s="4">
        <v>0</v>
      </c>
      <c r="H38" s="4">
        <v>30</v>
      </c>
      <c r="I38" s="4">
        <v>60</v>
      </c>
      <c r="J38" s="4">
        <v>0</v>
      </c>
      <c r="K38" s="4">
        <v>0</v>
      </c>
      <c r="L38" s="4" t="s">
        <v>176</v>
      </c>
    </row>
    <row r="39" spans="1:12">
      <c r="A39" s="4" t="s">
        <v>75</v>
      </c>
      <c r="B39" s="4" t="s">
        <v>76</v>
      </c>
      <c r="C39" s="14" t="s">
        <v>157</v>
      </c>
      <c r="D39" s="4" t="s">
        <v>158</v>
      </c>
      <c r="E39" s="3" t="s">
        <v>143</v>
      </c>
      <c r="F39" s="4">
        <v>0</v>
      </c>
      <c r="G39" s="4">
        <v>0</v>
      </c>
      <c r="H39" s="4">
        <v>30</v>
      </c>
      <c r="I39" s="4">
        <v>30</v>
      </c>
      <c r="J39" s="4">
        <v>0</v>
      </c>
      <c r="K39" s="4">
        <v>0</v>
      </c>
      <c r="L39" s="4" t="s">
        <v>218</v>
      </c>
    </row>
    <row r="40" spans="1:12">
      <c r="A40" s="9" t="s">
        <v>16</v>
      </c>
      <c r="B40" s="9" t="s">
        <v>17</v>
      </c>
      <c r="C40" s="15" t="s">
        <v>157</v>
      </c>
      <c r="D40" s="9" t="s">
        <v>158</v>
      </c>
      <c r="E40" s="8" t="s">
        <v>143</v>
      </c>
      <c r="F40" s="9">
        <v>0</v>
      </c>
      <c r="G40" s="9">
        <v>0</v>
      </c>
      <c r="H40" s="9">
        <v>36</v>
      </c>
      <c r="I40" s="9">
        <v>72</v>
      </c>
      <c r="J40" s="9">
        <v>0</v>
      </c>
      <c r="K40" s="9">
        <v>0</v>
      </c>
      <c r="L40" s="9" t="s">
        <v>189</v>
      </c>
    </row>
    <row r="41" spans="1:12">
      <c r="A41" s="9" t="s">
        <v>16</v>
      </c>
      <c r="B41" s="9" t="s">
        <v>17</v>
      </c>
      <c r="C41" s="15" t="s">
        <v>157</v>
      </c>
      <c r="D41" s="9" t="s">
        <v>158</v>
      </c>
      <c r="E41" s="8" t="s">
        <v>143</v>
      </c>
      <c r="F41" s="9">
        <v>0</v>
      </c>
      <c r="G41" s="9">
        <v>0</v>
      </c>
      <c r="H41" s="9">
        <v>36</v>
      </c>
      <c r="I41" s="9">
        <v>36</v>
      </c>
      <c r="J41" s="9">
        <v>0</v>
      </c>
      <c r="K41" s="9">
        <v>0</v>
      </c>
      <c r="L41" s="9" t="s">
        <v>242</v>
      </c>
    </row>
    <row r="42" spans="1:12">
      <c r="A42" s="4" t="s">
        <v>21</v>
      </c>
      <c r="B42" s="4" t="s">
        <v>22</v>
      </c>
      <c r="C42" s="14" t="s">
        <v>157</v>
      </c>
      <c r="D42" s="4" t="s">
        <v>158</v>
      </c>
      <c r="E42" s="3" t="s">
        <v>143</v>
      </c>
      <c r="F42" s="4">
        <v>0</v>
      </c>
      <c r="G42" s="4">
        <v>0</v>
      </c>
      <c r="H42" s="4">
        <v>36</v>
      </c>
      <c r="I42" s="4">
        <v>72</v>
      </c>
      <c r="J42" s="4">
        <v>0</v>
      </c>
      <c r="K42" s="4">
        <v>0</v>
      </c>
      <c r="L42" s="4" t="s">
        <v>188</v>
      </c>
    </row>
    <row r="43" spans="1:12">
      <c r="A43" s="4" t="s">
        <v>21</v>
      </c>
      <c r="B43" s="4" t="s">
        <v>22</v>
      </c>
      <c r="C43" s="14" t="s">
        <v>157</v>
      </c>
      <c r="D43" s="4" t="s">
        <v>158</v>
      </c>
      <c r="E43" s="3" t="s">
        <v>143</v>
      </c>
      <c r="F43" s="4">
        <v>0</v>
      </c>
      <c r="G43" s="4">
        <v>0</v>
      </c>
      <c r="H43" s="4">
        <v>36</v>
      </c>
      <c r="I43" s="4">
        <v>36</v>
      </c>
      <c r="J43" s="4">
        <v>0</v>
      </c>
      <c r="K43" s="4">
        <v>0</v>
      </c>
      <c r="L43" s="4" t="s">
        <v>241</v>
      </c>
    </row>
    <row r="44" spans="1:12">
      <c r="A44" s="9" t="s">
        <v>77</v>
      </c>
      <c r="B44" s="9" t="s">
        <v>78</v>
      </c>
      <c r="C44" s="15" t="s">
        <v>157</v>
      </c>
      <c r="D44" s="9" t="s">
        <v>158</v>
      </c>
      <c r="E44" s="8" t="s">
        <v>143</v>
      </c>
      <c r="F44" s="9">
        <v>0</v>
      </c>
      <c r="G44" s="9">
        <v>0</v>
      </c>
      <c r="H44" s="9">
        <v>12</v>
      </c>
      <c r="I44" s="9">
        <v>24</v>
      </c>
      <c r="J44" s="9">
        <v>0</v>
      </c>
      <c r="K44" s="9">
        <v>0</v>
      </c>
      <c r="L44" s="9" t="s">
        <v>176</v>
      </c>
    </row>
    <row r="45" spans="1:12">
      <c r="A45" s="9" t="s">
        <v>77</v>
      </c>
      <c r="B45" s="9" t="s">
        <v>78</v>
      </c>
      <c r="C45" s="15" t="s">
        <v>157</v>
      </c>
      <c r="D45" s="9" t="s">
        <v>158</v>
      </c>
      <c r="E45" s="8" t="s">
        <v>143</v>
      </c>
      <c r="F45" s="9">
        <v>0</v>
      </c>
      <c r="G45" s="9">
        <v>0</v>
      </c>
      <c r="H45" s="9">
        <v>12</v>
      </c>
      <c r="I45" s="9">
        <v>12</v>
      </c>
      <c r="J45" s="9">
        <v>0</v>
      </c>
      <c r="K45" s="9">
        <v>0</v>
      </c>
      <c r="L45" s="9" t="s">
        <v>217</v>
      </c>
    </row>
    <row r="46" spans="1:12">
      <c r="A46" s="4" t="s">
        <v>79</v>
      </c>
      <c r="B46" s="4" t="s">
        <v>80</v>
      </c>
      <c r="C46" s="14" t="s">
        <v>157</v>
      </c>
      <c r="D46" s="4" t="s">
        <v>158</v>
      </c>
      <c r="E46" s="3" t="s">
        <v>143</v>
      </c>
      <c r="F46" s="4">
        <v>0</v>
      </c>
      <c r="G46" s="4">
        <v>0</v>
      </c>
      <c r="H46" s="4">
        <v>12</v>
      </c>
      <c r="I46" s="4">
        <v>24</v>
      </c>
      <c r="J46" s="4">
        <v>0</v>
      </c>
      <c r="K46" s="4">
        <v>0</v>
      </c>
      <c r="L46" s="4" t="s">
        <v>175</v>
      </c>
    </row>
    <row r="47" spans="1:12">
      <c r="A47" s="4" t="s">
        <v>79</v>
      </c>
      <c r="B47" s="4" t="s">
        <v>80</v>
      </c>
      <c r="C47" s="14" t="s">
        <v>157</v>
      </c>
      <c r="D47" s="4" t="s">
        <v>158</v>
      </c>
      <c r="E47" s="3" t="s">
        <v>143</v>
      </c>
      <c r="F47" s="4">
        <v>0</v>
      </c>
      <c r="G47" s="4">
        <v>0</v>
      </c>
      <c r="H47" s="4">
        <v>12</v>
      </c>
      <c r="I47" s="4">
        <v>12</v>
      </c>
      <c r="J47" s="4">
        <v>0</v>
      </c>
      <c r="K47" s="4">
        <v>0</v>
      </c>
      <c r="L47" s="4" t="s">
        <v>216</v>
      </c>
    </row>
    <row r="48" spans="1:12">
      <c r="A48" s="9" t="s">
        <v>81</v>
      </c>
      <c r="B48" s="9" t="s">
        <v>82</v>
      </c>
      <c r="C48" s="15" t="s">
        <v>157</v>
      </c>
      <c r="D48" s="9" t="s">
        <v>158</v>
      </c>
      <c r="E48" s="8" t="s">
        <v>143</v>
      </c>
      <c r="F48" s="9">
        <v>0</v>
      </c>
      <c r="G48" s="9">
        <v>0</v>
      </c>
      <c r="H48" s="9">
        <v>16</v>
      </c>
      <c r="I48" s="9">
        <v>32</v>
      </c>
      <c r="J48" s="9">
        <v>0</v>
      </c>
      <c r="K48" s="9">
        <v>0</v>
      </c>
      <c r="L48" s="9" t="s">
        <v>174</v>
      </c>
    </row>
    <row r="49" spans="1:12">
      <c r="A49" s="9" t="s">
        <v>81</v>
      </c>
      <c r="B49" s="9" t="s">
        <v>82</v>
      </c>
      <c r="C49" s="15" t="s">
        <v>157</v>
      </c>
      <c r="D49" s="9" t="s">
        <v>158</v>
      </c>
      <c r="E49" s="8" t="s">
        <v>143</v>
      </c>
      <c r="F49" s="9">
        <v>0</v>
      </c>
      <c r="G49" s="9">
        <v>0</v>
      </c>
      <c r="H49" s="9">
        <v>16</v>
      </c>
      <c r="I49" s="9">
        <v>16</v>
      </c>
      <c r="J49" s="9">
        <v>0</v>
      </c>
      <c r="K49" s="9">
        <v>0</v>
      </c>
      <c r="L49" s="9" t="s">
        <v>215</v>
      </c>
    </row>
    <row r="50" spans="1:12">
      <c r="A50" s="4" t="s">
        <v>83</v>
      </c>
      <c r="B50" s="4" t="s">
        <v>84</v>
      </c>
      <c r="C50" s="14" t="s">
        <v>157</v>
      </c>
      <c r="D50" s="4" t="s">
        <v>158</v>
      </c>
      <c r="E50" s="3" t="s">
        <v>143</v>
      </c>
      <c r="F50" s="4">
        <v>0</v>
      </c>
      <c r="G50" s="4">
        <v>0</v>
      </c>
      <c r="H50" s="4">
        <v>48</v>
      </c>
      <c r="I50" s="4">
        <v>96</v>
      </c>
      <c r="J50" s="4">
        <v>0</v>
      </c>
      <c r="K50" s="4">
        <v>0</v>
      </c>
      <c r="L50" s="4" t="s">
        <v>174</v>
      </c>
    </row>
    <row r="51" spans="1:12">
      <c r="A51" s="4" t="s">
        <v>83</v>
      </c>
      <c r="B51" s="4" t="s">
        <v>84</v>
      </c>
      <c r="C51" s="14" t="s">
        <v>157</v>
      </c>
      <c r="D51" s="4" t="s">
        <v>158</v>
      </c>
      <c r="E51" s="3" t="s">
        <v>143</v>
      </c>
      <c r="F51" s="4">
        <v>0</v>
      </c>
      <c r="G51" s="4">
        <v>0</v>
      </c>
      <c r="H51" s="4">
        <v>48</v>
      </c>
      <c r="I51" s="4">
        <v>48</v>
      </c>
      <c r="J51" s="4">
        <v>0</v>
      </c>
      <c r="K51" s="4">
        <v>0</v>
      </c>
      <c r="L51" s="4" t="s">
        <v>214</v>
      </c>
    </row>
    <row r="52" spans="1:12">
      <c r="A52" s="9" t="s">
        <v>28</v>
      </c>
      <c r="B52" s="9" t="s">
        <v>29</v>
      </c>
      <c r="C52" s="15" t="s">
        <v>157</v>
      </c>
      <c r="D52" s="9" t="s">
        <v>158</v>
      </c>
      <c r="E52" s="8" t="s">
        <v>143</v>
      </c>
      <c r="F52" s="9">
        <v>0</v>
      </c>
      <c r="G52" s="9">
        <v>0</v>
      </c>
      <c r="H52" s="9">
        <v>24</v>
      </c>
      <c r="I52" s="9">
        <v>48</v>
      </c>
      <c r="J52" s="9">
        <v>0</v>
      </c>
      <c r="K52" s="9">
        <v>0</v>
      </c>
      <c r="L52" s="9" t="s">
        <v>188</v>
      </c>
    </row>
    <row r="53" spans="1:12">
      <c r="A53" s="9" t="s">
        <v>28</v>
      </c>
      <c r="B53" s="9" t="s">
        <v>29</v>
      </c>
      <c r="C53" s="15" t="s">
        <v>157</v>
      </c>
      <c r="D53" s="9" t="s">
        <v>158</v>
      </c>
      <c r="E53" s="8" t="s">
        <v>143</v>
      </c>
      <c r="F53" s="9">
        <v>0</v>
      </c>
      <c r="G53" s="9">
        <v>0</v>
      </c>
      <c r="H53" s="9">
        <v>24</v>
      </c>
      <c r="I53" s="9">
        <v>24</v>
      </c>
      <c r="J53" s="9">
        <v>0</v>
      </c>
      <c r="K53" s="9">
        <v>0</v>
      </c>
      <c r="L53" s="9" t="s">
        <v>238</v>
      </c>
    </row>
    <row r="54" spans="1:12" ht="30">
      <c r="A54" s="9" t="s">
        <v>85</v>
      </c>
      <c r="B54" s="9" t="s">
        <v>86</v>
      </c>
      <c r="C54" s="15" t="s">
        <v>157</v>
      </c>
      <c r="D54" s="9" t="s">
        <v>158</v>
      </c>
      <c r="E54" s="8" t="s">
        <v>143</v>
      </c>
      <c r="F54" s="9">
        <v>0</v>
      </c>
      <c r="G54" s="9">
        <v>0</v>
      </c>
      <c r="H54" s="9">
        <v>48</v>
      </c>
      <c r="I54" s="9">
        <v>96</v>
      </c>
      <c r="J54" s="9">
        <v>0</v>
      </c>
      <c r="K54" s="9">
        <v>0</v>
      </c>
      <c r="L54" s="9" t="s">
        <v>174</v>
      </c>
    </row>
    <row r="55" spans="1:12" ht="30">
      <c r="A55" s="9" t="s">
        <v>85</v>
      </c>
      <c r="B55" s="9" t="s">
        <v>86</v>
      </c>
      <c r="C55" s="15" t="s">
        <v>157</v>
      </c>
      <c r="D55" s="9" t="s">
        <v>158</v>
      </c>
      <c r="E55" s="8" t="s">
        <v>143</v>
      </c>
      <c r="F55" s="9">
        <v>0</v>
      </c>
      <c r="G55" s="9">
        <v>0</v>
      </c>
      <c r="H55" s="9">
        <v>48</v>
      </c>
      <c r="I55" s="9">
        <v>48</v>
      </c>
      <c r="J55" s="9">
        <v>0</v>
      </c>
      <c r="K55" s="9">
        <v>0</v>
      </c>
      <c r="L55" s="9" t="s">
        <v>213</v>
      </c>
    </row>
    <row r="56" spans="1:12">
      <c r="A56" s="4" t="s">
        <v>87</v>
      </c>
      <c r="B56" s="4" t="s">
        <v>88</v>
      </c>
      <c r="C56" s="14" t="s">
        <v>157</v>
      </c>
      <c r="D56" s="4" t="s">
        <v>158</v>
      </c>
      <c r="E56" s="3" t="s">
        <v>143</v>
      </c>
      <c r="F56" s="4">
        <v>0</v>
      </c>
      <c r="G56" s="4">
        <v>0</v>
      </c>
      <c r="H56" s="4">
        <v>48</v>
      </c>
      <c r="I56" s="4">
        <v>96</v>
      </c>
      <c r="J56" s="4">
        <v>0</v>
      </c>
      <c r="K56" s="4">
        <v>0</v>
      </c>
      <c r="L56" s="4" t="s">
        <v>173</v>
      </c>
    </row>
    <row r="57" spans="1:12">
      <c r="A57" s="4" t="s">
        <v>87</v>
      </c>
      <c r="B57" s="4" t="s">
        <v>88</v>
      </c>
      <c r="C57" s="14" t="s">
        <v>157</v>
      </c>
      <c r="D57" s="4" t="s">
        <v>158</v>
      </c>
      <c r="E57" s="3" t="s">
        <v>143</v>
      </c>
      <c r="F57" s="4">
        <v>0</v>
      </c>
      <c r="G57" s="4">
        <v>0</v>
      </c>
      <c r="H57" s="4">
        <v>48</v>
      </c>
      <c r="I57" s="4">
        <v>48</v>
      </c>
      <c r="J57" s="4">
        <v>0</v>
      </c>
      <c r="K57" s="4">
        <v>0</v>
      </c>
      <c r="L57" s="4" t="s">
        <v>213</v>
      </c>
    </row>
    <row r="58" spans="1:12">
      <c r="A58" s="9" t="s">
        <v>89</v>
      </c>
      <c r="B58" s="9" t="s">
        <v>90</v>
      </c>
      <c r="C58" s="15" t="s">
        <v>157</v>
      </c>
      <c r="D58" s="9" t="s">
        <v>158</v>
      </c>
      <c r="E58" s="8" t="s">
        <v>143</v>
      </c>
      <c r="F58" s="9">
        <v>0</v>
      </c>
      <c r="G58" s="9">
        <v>0</v>
      </c>
      <c r="H58" s="9">
        <v>48</v>
      </c>
      <c r="I58" s="9">
        <v>96</v>
      </c>
      <c r="J58" s="9">
        <v>0</v>
      </c>
      <c r="K58" s="9">
        <v>0</v>
      </c>
      <c r="L58" s="9" t="s">
        <v>172</v>
      </c>
    </row>
    <row r="59" spans="1:12">
      <c r="A59" s="9" t="s">
        <v>89</v>
      </c>
      <c r="B59" s="9" t="s">
        <v>90</v>
      </c>
      <c r="C59" s="15" t="s">
        <v>157</v>
      </c>
      <c r="D59" s="9" t="s">
        <v>158</v>
      </c>
      <c r="E59" s="8" t="s">
        <v>143</v>
      </c>
      <c r="F59" s="9">
        <v>0</v>
      </c>
      <c r="G59" s="9">
        <v>0</v>
      </c>
      <c r="H59" s="9">
        <v>48</v>
      </c>
      <c r="I59" s="9">
        <v>48</v>
      </c>
      <c r="J59" s="9">
        <v>0</v>
      </c>
      <c r="K59" s="9">
        <v>0</v>
      </c>
      <c r="L59" s="9" t="s">
        <v>212</v>
      </c>
    </row>
    <row r="60" spans="1:12">
      <c r="A60" s="4" t="s">
        <v>91</v>
      </c>
      <c r="B60" s="4" t="s">
        <v>92</v>
      </c>
      <c r="C60" s="14" t="s">
        <v>157</v>
      </c>
      <c r="D60" s="4" t="s">
        <v>158</v>
      </c>
      <c r="E60" s="3" t="s">
        <v>143</v>
      </c>
      <c r="F60" s="4">
        <v>0</v>
      </c>
      <c r="G60" s="4">
        <v>0</v>
      </c>
      <c r="H60" s="4">
        <v>30</v>
      </c>
      <c r="I60" s="4">
        <v>60</v>
      </c>
      <c r="J60" s="4">
        <v>0</v>
      </c>
      <c r="K60" s="4">
        <v>0</v>
      </c>
      <c r="L60" s="4" t="s">
        <v>171</v>
      </c>
    </row>
    <row r="61" spans="1:12">
      <c r="A61" s="4" t="s">
        <v>91</v>
      </c>
      <c r="B61" s="4" t="s">
        <v>92</v>
      </c>
      <c r="C61" s="14" t="s">
        <v>157</v>
      </c>
      <c r="D61" s="4" t="s">
        <v>158</v>
      </c>
      <c r="E61" s="3" t="s">
        <v>143</v>
      </c>
      <c r="F61" s="4">
        <v>0</v>
      </c>
      <c r="G61" s="4">
        <v>0</v>
      </c>
      <c r="H61" s="4">
        <v>30</v>
      </c>
      <c r="I61" s="4">
        <v>30</v>
      </c>
      <c r="J61" s="4">
        <v>0</v>
      </c>
      <c r="K61" s="4">
        <v>0</v>
      </c>
      <c r="L61" s="4" t="s">
        <v>211</v>
      </c>
    </row>
    <row r="62" spans="1:12">
      <c r="A62" s="9" t="s">
        <v>93</v>
      </c>
      <c r="B62" s="9" t="s">
        <v>94</v>
      </c>
      <c r="C62" s="15" t="s">
        <v>157</v>
      </c>
      <c r="D62" s="9" t="s">
        <v>158</v>
      </c>
      <c r="E62" s="8" t="s">
        <v>143</v>
      </c>
      <c r="F62" s="9">
        <v>0</v>
      </c>
      <c r="G62" s="9">
        <v>0</v>
      </c>
      <c r="H62" s="9">
        <v>30</v>
      </c>
      <c r="I62" s="9">
        <v>60</v>
      </c>
      <c r="J62" s="9">
        <v>0</v>
      </c>
      <c r="K62" s="9">
        <v>0</v>
      </c>
      <c r="L62" s="9" t="s">
        <v>171</v>
      </c>
    </row>
    <row r="63" spans="1:12">
      <c r="A63" s="9" t="s">
        <v>93</v>
      </c>
      <c r="B63" s="9" t="s">
        <v>94</v>
      </c>
      <c r="C63" s="15" t="s">
        <v>157</v>
      </c>
      <c r="D63" s="9" t="s">
        <v>158</v>
      </c>
      <c r="E63" s="8" t="s">
        <v>143</v>
      </c>
      <c r="F63" s="9">
        <v>0</v>
      </c>
      <c r="G63" s="9">
        <v>0</v>
      </c>
      <c r="H63" s="9">
        <v>30</v>
      </c>
      <c r="I63" s="9">
        <v>30</v>
      </c>
      <c r="J63" s="9">
        <v>0</v>
      </c>
      <c r="K63" s="9">
        <v>0</v>
      </c>
      <c r="L63" s="9" t="s">
        <v>210</v>
      </c>
    </row>
    <row r="64" spans="1:12">
      <c r="A64" s="4" t="s">
        <v>95</v>
      </c>
      <c r="B64" s="4" t="s">
        <v>96</v>
      </c>
      <c r="C64" s="14" t="s">
        <v>157</v>
      </c>
      <c r="D64" s="4" t="s">
        <v>158</v>
      </c>
      <c r="E64" s="3" t="s">
        <v>143</v>
      </c>
      <c r="F64" s="4">
        <v>0</v>
      </c>
      <c r="G64" s="4">
        <v>0</v>
      </c>
      <c r="H64" s="4">
        <v>30</v>
      </c>
      <c r="I64" s="4">
        <v>60</v>
      </c>
      <c r="J64" s="4">
        <v>0</v>
      </c>
      <c r="K64" s="4">
        <v>0</v>
      </c>
      <c r="L64" s="4" t="s">
        <v>170</v>
      </c>
    </row>
    <row r="65" spans="1:12">
      <c r="A65" s="4" t="s">
        <v>95</v>
      </c>
      <c r="B65" s="4" t="s">
        <v>96</v>
      </c>
      <c r="C65" s="14" t="s">
        <v>157</v>
      </c>
      <c r="D65" s="4" t="s">
        <v>158</v>
      </c>
      <c r="E65" s="3" t="s">
        <v>143</v>
      </c>
      <c r="F65" s="4">
        <v>0</v>
      </c>
      <c r="G65" s="4">
        <v>0</v>
      </c>
      <c r="H65" s="4">
        <v>30</v>
      </c>
      <c r="I65" s="4">
        <v>30</v>
      </c>
      <c r="J65" s="4">
        <v>0</v>
      </c>
      <c r="K65" s="4">
        <v>0</v>
      </c>
      <c r="L65" s="4" t="s">
        <v>209</v>
      </c>
    </row>
    <row r="66" spans="1:12">
      <c r="A66" s="9" t="s">
        <v>97</v>
      </c>
      <c r="B66" s="9" t="s">
        <v>98</v>
      </c>
      <c r="C66" s="15" t="s">
        <v>157</v>
      </c>
      <c r="D66" s="9" t="s">
        <v>158</v>
      </c>
      <c r="E66" s="8" t="s">
        <v>143</v>
      </c>
      <c r="F66" s="9">
        <v>0</v>
      </c>
      <c r="G66" s="9">
        <v>0</v>
      </c>
      <c r="H66" s="9">
        <v>48</v>
      </c>
      <c r="I66" s="9">
        <v>96</v>
      </c>
      <c r="J66" s="9">
        <v>0</v>
      </c>
      <c r="K66" s="9">
        <v>0</v>
      </c>
      <c r="L66" s="9" t="s">
        <v>170</v>
      </c>
    </row>
    <row r="67" spans="1:12">
      <c r="A67" s="9" t="s">
        <v>97</v>
      </c>
      <c r="B67" s="9" t="s">
        <v>98</v>
      </c>
      <c r="C67" s="15" t="s">
        <v>157</v>
      </c>
      <c r="D67" s="9" t="s">
        <v>158</v>
      </c>
      <c r="E67" s="8" t="s">
        <v>143</v>
      </c>
      <c r="F67" s="9">
        <v>0</v>
      </c>
      <c r="G67" s="9">
        <v>0</v>
      </c>
      <c r="H67" s="9">
        <v>48</v>
      </c>
      <c r="I67" s="9">
        <v>48</v>
      </c>
      <c r="J67" s="9">
        <v>0</v>
      </c>
      <c r="K67" s="9">
        <v>0</v>
      </c>
      <c r="L67" s="9" t="s">
        <v>208</v>
      </c>
    </row>
    <row r="68" spans="1:12">
      <c r="A68" s="4" t="s">
        <v>99</v>
      </c>
      <c r="B68" s="4" t="s">
        <v>100</v>
      </c>
      <c r="C68" s="14" t="s">
        <v>157</v>
      </c>
      <c r="D68" s="4" t="s">
        <v>158</v>
      </c>
      <c r="E68" s="3" t="s">
        <v>143</v>
      </c>
      <c r="F68" s="4">
        <v>0</v>
      </c>
      <c r="G68" s="4">
        <v>0</v>
      </c>
      <c r="H68" s="4">
        <v>30</v>
      </c>
      <c r="I68" s="4">
        <v>60</v>
      </c>
      <c r="J68" s="4">
        <v>0</v>
      </c>
      <c r="K68" s="4">
        <v>0</v>
      </c>
      <c r="L68" s="4" t="s">
        <v>169</v>
      </c>
    </row>
    <row r="69" spans="1:12">
      <c r="A69" s="4" t="s">
        <v>99</v>
      </c>
      <c r="B69" s="4" t="s">
        <v>100</v>
      </c>
      <c r="C69" s="14" t="s">
        <v>157</v>
      </c>
      <c r="D69" s="4" t="s">
        <v>158</v>
      </c>
      <c r="E69" s="3" t="s">
        <v>143</v>
      </c>
      <c r="F69" s="4">
        <v>0</v>
      </c>
      <c r="G69" s="4">
        <v>0</v>
      </c>
      <c r="H69" s="4">
        <v>30</v>
      </c>
      <c r="I69" s="4">
        <v>30</v>
      </c>
      <c r="J69" s="4">
        <v>0</v>
      </c>
      <c r="K69" s="4">
        <v>0</v>
      </c>
      <c r="L69" s="4" t="s">
        <v>207</v>
      </c>
    </row>
    <row r="70" spans="1:12">
      <c r="A70" s="9" t="s">
        <v>101</v>
      </c>
      <c r="B70" s="9" t="s">
        <v>102</v>
      </c>
      <c r="C70" s="15" t="s">
        <v>157</v>
      </c>
      <c r="D70" s="9" t="s">
        <v>158</v>
      </c>
      <c r="E70" s="8" t="s">
        <v>143</v>
      </c>
      <c r="F70" s="9">
        <v>0</v>
      </c>
      <c r="G70" s="9">
        <v>0</v>
      </c>
      <c r="H70" s="9">
        <v>30</v>
      </c>
      <c r="I70" s="9">
        <v>60</v>
      </c>
      <c r="J70" s="9">
        <v>0</v>
      </c>
      <c r="K70" s="9">
        <v>0</v>
      </c>
      <c r="L70" s="9" t="s">
        <v>169</v>
      </c>
    </row>
    <row r="71" spans="1:12">
      <c r="A71" s="9" t="s">
        <v>101</v>
      </c>
      <c r="B71" s="9" t="s">
        <v>102</v>
      </c>
      <c r="C71" s="15" t="s">
        <v>157</v>
      </c>
      <c r="D71" s="9" t="s">
        <v>158</v>
      </c>
      <c r="E71" s="8" t="s">
        <v>143</v>
      </c>
      <c r="F71" s="9">
        <v>0</v>
      </c>
      <c r="G71" s="9">
        <v>0</v>
      </c>
      <c r="H71" s="9">
        <v>30</v>
      </c>
      <c r="I71" s="9">
        <v>30</v>
      </c>
      <c r="J71" s="9">
        <v>0</v>
      </c>
      <c r="K71" s="9">
        <v>0</v>
      </c>
      <c r="L71" s="9" t="s">
        <v>206</v>
      </c>
    </row>
    <row r="72" spans="1:12">
      <c r="A72" s="4" t="s">
        <v>103</v>
      </c>
      <c r="B72" s="4" t="s">
        <v>104</v>
      </c>
      <c r="C72" s="14" t="s">
        <v>157</v>
      </c>
      <c r="D72" s="4" t="s">
        <v>158</v>
      </c>
      <c r="E72" s="3" t="s">
        <v>143</v>
      </c>
      <c r="F72" s="4">
        <v>0</v>
      </c>
      <c r="G72" s="4">
        <v>0</v>
      </c>
      <c r="H72" s="4">
        <v>30</v>
      </c>
      <c r="I72" s="4">
        <v>60</v>
      </c>
      <c r="J72" s="4">
        <v>0</v>
      </c>
      <c r="K72" s="4">
        <v>0</v>
      </c>
      <c r="L72" s="4" t="s">
        <v>169</v>
      </c>
    </row>
    <row r="73" spans="1:12">
      <c r="A73" s="4" t="s">
        <v>103</v>
      </c>
      <c r="B73" s="4" t="s">
        <v>104</v>
      </c>
      <c r="C73" s="14" t="s">
        <v>157</v>
      </c>
      <c r="D73" s="4" t="s">
        <v>158</v>
      </c>
      <c r="E73" s="3" t="s">
        <v>143</v>
      </c>
      <c r="F73" s="4">
        <v>0</v>
      </c>
      <c r="G73" s="4">
        <v>0</v>
      </c>
      <c r="H73" s="4">
        <v>30</v>
      </c>
      <c r="I73" s="4">
        <v>30</v>
      </c>
      <c r="J73" s="4">
        <v>0</v>
      </c>
      <c r="K73" s="4">
        <v>0</v>
      </c>
      <c r="L73" s="4" t="s">
        <v>205</v>
      </c>
    </row>
    <row r="74" spans="1:12">
      <c r="A74" s="9" t="s">
        <v>105</v>
      </c>
      <c r="B74" s="9" t="s">
        <v>106</v>
      </c>
      <c r="C74" s="15" t="s">
        <v>157</v>
      </c>
      <c r="D74" s="9" t="s">
        <v>158</v>
      </c>
      <c r="E74" s="8" t="s">
        <v>143</v>
      </c>
      <c r="F74" s="9">
        <v>0</v>
      </c>
      <c r="G74" s="9">
        <v>0</v>
      </c>
      <c r="H74" s="9">
        <v>30</v>
      </c>
      <c r="I74" s="9">
        <v>60</v>
      </c>
      <c r="J74" s="9">
        <v>0</v>
      </c>
      <c r="K74" s="9">
        <v>0</v>
      </c>
      <c r="L74" s="9" t="s">
        <v>168</v>
      </c>
    </row>
    <row r="75" spans="1:12">
      <c r="A75" s="9" t="s">
        <v>105</v>
      </c>
      <c r="B75" s="9" t="s">
        <v>106</v>
      </c>
      <c r="C75" s="15" t="s">
        <v>157</v>
      </c>
      <c r="D75" s="9" t="s">
        <v>158</v>
      </c>
      <c r="E75" s="8" t="s">
        <v>143</v>
      </c>
      <c r="F75" s="9">
        <v>0</v>
      </c>
      <c r="G75" s="9">
        <v>0</v>
      </c>
      <c r="H75" s="9">
        <v>30</v>
      </c>
      <c r="I75" s="9">
        <v>30</v>
      </c>
      <c r="J75" s="9">
        <v>0</v>
      </c>
      <c r="K75" s="9">
        <v>0</v>
      </c>
      <c r="L75" s="9" t="s">
        <v>205</v>
      </c>
    </row>
    <row r="76" spans="1:12">
      <c r="A76" s="4" t="s">
        <v>107</v>
      </c>
      <c r="B76" s="4" t="s">
        <v>108</v>
      </c>
      <c r="C76" s="14" t="s">
        <v>157</v>
      </c>
      <c r="D76" s="4" t="s">
        <v>158</v>
      </c>
      <c r="E76" s="3" t="s">
        <v>143</v>
      </c>
      <c r="F76" s="4">
        <v>0</v>
      </c>
      <c r="G76" s="4">
        <v>0</v>
      </c>
      <c r="H76" s="4">
        <v>10</v>
      </c>
      <c r="I76" s="4">
        <v>20</v>
      </c>
      <c r="J76" s="4">
        <v>0</v>
      </c>
      <c r="K76" s="4">
        <v>0</v>
      </c>
      <c r="L76" s="4" t="s">
        <v>168</v>
      </c>
    </row>
    <row r="77" spans="1:12">
      <c r="A77" s="4" t="s">
        <v>107</v>
      </c>
      <c r="B77" s="4" t="s">
        <v>108</v>
      </c>
      <c r="C77" s="14" t="s">
        <v>157</v>
      </c>
      <c r="D77" s="4" t="s">
        <v>158</v>
      </c>
      <c r="E77" s="3" t="s">
        <v>143</v>
      </c>
      <c r="F77" s="4">
        <v>0</v>
      </c>
      <c r="G77" s="4">
        <v>0</v>
      </c>
      <c r="H77" s="4">
        <v>10</v>
      </c>
      <c r="I77" s="4">
        <v>10</v>
      </c>
      <c r="J77" s="4">
        <v>0</v>
      </c>
      <c r="K77" s="4">
        <v>0</v>
      </c>
      <c r="L77" s="4" t="s">
        <v>204</v>
      </c>
    </row>
    <row r="78" spans="1:12">
      <c r="A78" s="9" t="s">
        <v>109</v>
      </c>
      <c r="B78" s="9" t="s">
        <v>110</v>
      </c>
      <c r="C78" s="15" t="s">
        <v>157</v>
      </c>
      <c r="D78" s="9" t="s">
        <v>158</v>
      </c>
      <c r="E78" s="8" t="s">
        <v>143</v>
      </c>
      <c r="F78" s="9">
        <v>0</v>
      </c>
      <c r="G78" s="9">
        <v>0</v>
      </c>
      <c r="H78" s="9">
        <v>24</v>
      </c>
      <c r="I78" s="9">
        <v>48</v>
      </c>
      <c r="J78" s="9">
        <v>0</v>
      </c>
      <c r="K78" s="9">
        <v>0</v>
      </c>
      <c r="L78" s="9" t="s">
        <v>168</v>
      </c>
    </row>
    <row r="79" spans="1:12">
      <c r="A79" s="9" t="s">
        <v>109</v>
      </c>
      <c r="B79" s="9" t="s">
        <v>110</v>
      </c>
      <c r="C79" s="15" t="s">
        <v>157</v>
      </c>
      <c r="D79" s="9" t="s">
        <v>158</v>
      </c>
      <c r="E79" s="8" t="s">
        <v>143</v>
      </c>
      <c r="F79" s="9">
        <v>0</v>
      </c>
      <c r="G79" s="9">
        <v>0</v>
      </c>
      <c r="H79" s="9">
        <v>24</v>
      </c>
      <c r="I79" s="9">
        <v>24</v>
      </c>
      <c r="J79" s="9">
        <v>0</v>
      </c>
      <c r="K79" s="9">
        <v>0</v>
      </c>
      <c r="L79" s="9" t="s">
        <v>203</v>
      </c>
    </row>
    <row r="80" spans="1:12">
      <c r="A80" s="4" t="s">
        <v>111</v>
      </c>
      <c r="B80" s="4" t="s">
        <v>112</v>
      </c>
      <c r="C80" s="14" t="s">
        <v>157</v>
      </c>
      <c r="D80" s="4" t="s">
        <v>158</v>
      </c>
      <c r="E80" s="3" t="s">
        <v>143</v>
      </c>
      <c r="F80" s="4">
        <v>0</v>
      </c>
      <c r="G80" s="4">
        <v>0</v>
      </c>
      <c r="H80" s="4">
        <v>12</v>
      </c>
      <c r="I80" s="4">
        <v>24</v>
      </c>
      <c r="J80" s="4">
        <v>0</v>
      </c>
      <c r="K80" s="4">
        <v>0</v>
      </c>
      <c r="L80" s="4" t="s">
        <v>167</v>
      </c>
    </row>
    <row r="81" spans="1:12">
      <c r="A81" s="4" t="s">
        <v>111</v>
      </c>
      <c r="B81" s="4" t="s">
        <v>112</v>
      </c>
      <c r="C81" s="14" t="s">
        <v>157</v>
      </c>
      <c r="D81" s="4" t="s">
        <v>158</v>
      </c>
      <c r="E81" s="3" t="s">
        <v>143</v>
      </c>
      <c r="F81" s="4">
        <v>0</v>
      </c>
      <c r="G81" s="4">
        <v>0</v>
      </c>
      <c r="H81" s="4">
        <v>12</v>
      </c>
      <c r="I81" s="4">
        <v>12</v>
      </c>
      <c r="J81" s="4">
        <v>0</v>
      </c>
      <c r="K81" s="4">
        <v>0</v>
      </c>
      <c r="L81" s="4" t="s">
        <v>202</v>
      </c>
    </row>
    <row r="82" spans="1:12">
      <c r="A82" s="9" t="s">
        <v>113</v>
      </c>
      <c r="B82" s="9" t="s">
        <v>114</v>
      </c>
      <c r="C82" s="15" t="s">
        <v>157</v>
      </c>
      <c r="D82" s="9" t="s">
        <v>158</v>
      </c>
      <c r="E82" s="8" t="s">
        <v>143</v>
      </c>
      <c r="F82" s="9">
        <v>0</v>
      </c>
      <c r="G82" s="9">
        <v>0</v>
      </c>
      <c r="H82" s="9">
        <v>24</v>
      </c>
      <c r="I82" s="9">
        <v>48</v>
      </c>
      <c r="J82" s="9">
        <v>0</v>
      </c>
      <c r="K82" s="9">
        <v>0</v>
      </c>
      <c r="L82" s="9" t="s">
        <v>167</v>
      </c>
    </row>
    <row r="83" spans="1:12">
      <c r="A83" s="9" t="s">
        <v>113</v>
      </c>
      <c r="B83" s="9" t="s">
        <v>114</v>
      </c>
      <c r="C83" s="15" t="s">
        <v>157</v>
      </c>
      <c r="D83" s="9" t="s">
        <v>158</v>
      </c>
      <c r="E83" s="8" t="s">
        <v>143</v>
      </c>
      <c r="F83" s="9">
        <v>0</v>
      </c>
      <c r="G83" s="9">
        <v>0</v>
      </c>
      <c r="H83" s="9">
        <v>24</v>
      </c>
      <c r="I83" s="9">
        <v>24</v>
      </c>
      <c r="J83" s="9">
        <v>0</v>
      </c>
      <c r="K83" s="9">
        <v>0</v>
      </c>
      <c r="L83" s="9" t="s">
        <v>201</v>
      </c>
    </row>
    <row r="84" spans="1:12">
      <c r="A84" s="4" t="s">
        <v>115</v>
      </c>
      <c r="B84" s="4" t="s">
        <v>116</v>
      </c>
      <c r="C84" s="14" t="s">
        <v>157</v>
      </c>
      <c r="D84" s="4" t="s">
        <v>158</v>
      </c>
      <c r="E84" s="3" t="s">
        <v>143</v>
      </c>
      <c r="F84" s="4">
        <v>0</v>
      </c>
      <c r="G84" s="4">
        <v>0</v>
      </c>
      <c r="H84" s="4">
        <v>12</v>
      </c>
      <c r="I84" s="4">
        <v>24</v>
      </c>
      <c r="J84" s="4">
        <v>0</v>
      </c>
      <c r="K84" s="4">
        <v>0</v>
      </c>
      <c r="L84" s="4" t="s">
        <v>167</v>
      </c>
    </row>
    <row r="85" spans="1:12">
      <c r="A85" s="4" t="s">
        <v>115</v>
      </c>
      <c r="B85" s="4" t="s">
        <v>116</v>
      </c>
      <c r="C85" s="14" t="s">
        <v>157</v>
      </c>
      <c r="D85" s="4" t="s">
        <v>158</v>
      </c>
      <c r="E85" s="3" t="s">
        <v>143</v>
      </c>
      <c r="F85" s="4">
        <v>0</v>
      </c>
      <c r="G85" s="4">
        <v>0</v>
      </c>
      <c r="H85" s="4">
        <v>12</v>
      </c>
      <c r="I85" s="4">
        <v>12</v>
      </c>
      <c r="J85" s="4">
        <v>0</v>
      </c>
      <c r="K85" s="4">
        <v>0</v>
      </c>
      <c r="L85" s="4" t="s">
        <v>200</v>
      </c>
    </row>
    <row r="86" spans="1:12">
      <c r="A86" s="9" t="s">
        <v>117</v>
      </c>
      <c r="B86" s="9" t="s">
        <v>118</v>
      </c>
      <c r="C86" s="15" t="s">
        <v>157</v>
      </c>
      <c r="D86" s="9" t="s">
        <v>158</v>
      </c>
      <c r="E86" s="8" t="s">
        <v>143</v>
      </c>
      <c r="F86" s="9">
        <v>0</v>
      </c>
      <c r="G86" s="9">
        <v>0</v>
      </c>
      <c r="H86" s="9">
        <v>12</v>
      </c>
      <c r="I86" s="9">
        <v>24</v>
      </c>
      <c r="J86" s="9">
        <v>0</v>
      </c>
      <c r="K86" s="9">
        <v>0</v>
      </c>
      <c r="L86" s="9" t="s">
        <v>166</v>
      </c>
    </row>
    <row r="87" spans="1:12">
      <c r="A87" s="9" t="s">
        <v>117</v>
      </c>
      <c r="B87" s="9" t="s">
        <v>118</v>
      </c>
      <c r="C87" s="15" t="s">
        <v>157</v>
      </c>
      <c r="D87" s="9" t="s">
        <v>158</v>
      </c>
      <c r="E87" s="8" t="s">
        <v>143</v>
      </c>
      <c r="F87" s="9">
        <v>0</v>
      </c>
      <c r="G87" s="9">
        <v>0</v>
      </c>
      <c r="H87" s="9">
        <v>12</v>
      </c>
      <c r="I87" s="9">
        <v>12</v>
      </c>
      <c r="J87" s="9">
        <v>0</v>
      </c>
      <c r="K87" s="9">
        <v>0</v>
      </c>
      <c r="L87" s="9" t="s">
        <v>199</v>
      </c>
    </row>
    <row r="88" spans="1:12">
      <c r="A88" s="4" t="s">
        <v>119</v>
      </c>
      <c r="B88" s="4" t="s">
        <v>120</v>
      </c>
      <c r="C88" s="14" t="s">
        <v>157</v>
      </c>
      <c r="D88" s="4" t="s">
        <v>158</v>
      </c>
      <c r="E88" s="3" t="s">
        <v>143</v>
      </c>
      <c r="F88" s="4">
        <v>0</v>
      </c>
      <c r="G88" s="4">
        <v>0</v>
      </c>
      <c r="H88" s="4">
        <v>12</v>
      </c>
      <c r="I88" s="4">
        <v>24</v>
      </c>
      <c r="J88" s="4">
        <v>0</v>
      </c>
      <c r="K88" s="4">
        <v>0</v>
      </c>
      <c r="L88" s="4" t="s">
        <v>166</v>
      </c>
    </row>
    <row r="89" spans="1:12">
      <c r="A89" s="4" t="s">
        <v>119</v>
      </c>
      <c r="B89" s="4" t="s">
        <v>120</v>
      </c>
      <c r="C89" s="14" t="s">
        <v>157</v>
      </c>
      <c r="D89" s="4" t="s">
        <v>158</v>
      </c>
      <c r="E89" s="3" t="s">
        <v>143</v>
      </c>
      <c r="F89" s="4">
        <v>0</v>
      </c>
      <c r="G89" s="4">
        <v>0</v>
      </c>
      <c r="H89" s="4">
        <v>12</v>
      </c>
      <c r="I89" s="4">
        <v>12</v>
      </c>
      <c r="J89" s="4">
        <v>0</v>
      </c>
      <c r="K89" s="4">
        <v>0</v>
      </c>
      <c r="L89" s="4" t="s">
        <v>198</v>
      </c>
    </row>
    <row r="90" spans="1:12" ht="30">
      <c r="A90" s="4" t="s">
        <v>39</v>
      </c>
      <c r="B90" s="4" t="s">
        <v>40</v>
      </c>
      <c r="C90" s="14" t="s">
        <v>157</v>
      </c>
      <c r="D90" s="4" t="s">
        <v>158</v>
      </c>
      <c r="E90" s="3" t="s">
        <v>143</v>
      </c>
      <c r="F90" s="4">
        <v>0</v>
      </c>
      <c r="G90" s="4">
        <v>0</v>
      </c>
      <c r="H90" s="4">
        <v>20</v>
      </c>
      <c r="I90" s="4">
        <v>40</v>
      </c>
      <c r="J90" s="4">
        <v>0</v>
      </c>
      <c r="K90" s="4">
        <v>0</v>
      </c>
      <c r="L90" s="4" t="s">
        <v>185</v>
      </c>
    </row>
    <row r="91" spans="1:12" ht="30">
      <c r="A91" s="4" t="s">
        <v>39</v>
      </c>
      <c r="B91" s="4" t="s">
        <v>40</v>
      </c>
      <c r="C91" s="14" t="s">
        <v>157</v>
      </c>
      <c r="D91" s="4" t="s">
        <v>158</v>
      </c>
      <c r="E91" s="3" t="s">
        <v>143</v>
      </c>
      <c r="F91" s="4">
        <v>0</v>
      </c>
      <c r="G91" s="4">
        <v>0</v>
      </c>
      <c r="H91" s="4">
        <v>20</v>
      </c>
      <c r="I91" s="4">
        <v>20</v>
      </c>
      <c r="J91" s="4">
        <v>0</v>
      </c>
      <c r="K91" s="4">
        <v>0</v>
      </c>
      <c r="L91" s="4" t="s">
        <v>234</v>
      </c>
    </row>
    <row r="92" spans="1:12">
      <c r="A92" s="9" t="s">
        <v>41</v>
      </c>
      <c r="B92" s="9" t="s">
        <v>42</v>
      </c>
      <c r="C92" s="15" t="s">
        <v>157</v>
      </c>
      <c r="D92" s="9" t="s">
        <v>158</v>
      </c>
      <c r="E92" s="8" t="s">
        <v>143</v>
      </c>
      <c r="F92" s="9">
        <v>0</v>
      </c>
      <c r="G92" s="9">
        <v>0</v>
      </c>
      <c r="H92" s="9">
        <v>24</v>
      </c>
      <c r="I92" s="9">
        <v>48</v>
      </c>
      <c r="J92" s="9">
        <v>0</v>
      </c>
      <c r="K92" s="9">
        <v>0</v>
      </c>
      <c r="L92" s="9" t="s">
        <v>185</v>
      </c>
    </row>
    <row r="93" spans="1:12">
      <c r="A93" s="9" t="s">
        <v>41</v>
      </c>
      <c r="B93" s="9" t="s">
        <v>42</v>
      </c>
      <c r="C93" s="15" t="s">
        <v>157</v>
      </c>
      <c r="D93" s="9" t="s">
        <v>158</v>
      </c>
      <c r="E93" s="8" t="s">
        <v>143</v>
      </c>
      <c r="F93" s="9">
        <v>0</v>
      </c>
      <c r="G93" s="9">
        <v>0</v>
      </c>
      <c r="H93" s="9">
        <v>24</v>
      </c>
      <c r="I93" s="9">
        <v>24</v>
      </c>
      <c r="J93" s="9">
        <v>0</v>
      </c>
      <c r="K93" s="9">
        <v>0</v>
      </c>
      <c r="L93" s="9" t="s">
        <v>233</v>
      </c>
    </row>
    <row r="94" spans="1:12">
      <c r="A94" s="4" t="s">
        <v>43</v>
      </c>
      <c r="B94" s="4" t="s">
        <v>44</v>
      </c>
      <c r="C94" s="14" t="s">
        <v>157</v>
      </c>
      <c r="D94" s="4" t="s">
        <v>158</v>
      </c>
      <c r="E94" s="3" t="s">
        <v>143</v>
      </c>
      <c r="F94" s="4">
        <v>0</v>
      </c>
      <c r="G94" s="4">
        <v>0</v>
      </c>
      <c r="H94" s="4">
        <v>24</v>
      </c>
      <c r="I94" s="4">
        <v>48</v>
      </c>
      <c r="J94" s="4">
        <v>0</v>
      </c>
      <c r="K94" s="4">
        <v>0</v>
      </c>
      <c r="L94" s="4" t="s">
        <v>185</v>
      </c>
    </row>
    <row r="95" spans="1:12">
      <c r="A95" s="4" t="s">
        <v>43</v>
      </c>
      <c r="B95" s="4" t="s">
        <v>44</v>
      </c>
      <c r="C95" s="14" t="s">
        <v>157</v>
      </c>
      <c r="D95" s="4" t="s">
        <v>158</v>
      </c>
      <c r="E95" s="3" t="s">
        <v>143</v>
      </c>
      <c r="F95" s="4">
        <v>0</v>
      </c>
      <c r="G95" s="4">
        <v>0</v>
      </c>
      <c r="H95" s="4">
        <v>24</v>
      </c>
      <c r="I95" s="4">
        <v>24</v>
      </c>
      <c r="J95" s="4">
        <v>0</v>
      </c>
      <c r="K95" s="4">
        <v>0</v>
      </c>
      <c r="L95" s="4" t="s">
        <v>232</v>
      </c>
    </row>
    <row r="96" spans="1:12">
      <c r="A96" s="9" t="s">
        <v>45</v>
      </c>
      <c r="B96" s="9" t="s">
        <v>46</v>
      </c>
      <c r="C96" s="15" t="s">
        <v>157</v>
      </c>
      <c r="D96" s="9" t="s">
        <v>158</v>
      </c>
      <c r="E96" s="8" t="s">
        <v>143</v>
      </c>
      <c r="F96" s="9">
        <v>0</v>
      </c>
      <c r="G96" s="9">
        <v>0</v>
      </c>
      <c r="H96" s="9">
        <v>32</v>
      </c>
      <c r="I96" s="9">
        <v>64</v>
      </c>
      <c r="J96" s="9">
        <v>0</v>
      </c>
      <c r="K96" s="9">
        <v>0</v>
      </c>
      <c r="L96" s="9" t="s">
        <v>184</v>
      </c>
    </row>
    <row r="97" spans="1:12">
      <c r="A97" s="9" t="s">
        <v>45</v>
      </c>
      <c r="B97" s="9" t="s">
        <v>46</v>
      </c>
      <c r="C97" s="15" t="s">
        <v>157</v>
      </c>
      <c r="D97" s="9" t="s">
        <v>158</v>
      </c>
      <c r="E97" s="8" t="s">
        <v>143</v>
      </c>
      <c r="F97" s="9">
        <v>0</v>
      </c>
      <c r="G97" s="9">
        <v>0</v>
      </c>
      <c r="H97" s="9">
        <v>32</v>
      </c>
      <c r="I97" s="9">
        <v>32</v>
      </c>
      <c r="J97" s="9">
        <v>0</v>
      </c>
      <c r="K97" s="9">
        <v>0</v>
      </c>
      <c r="L97" s="9" t="s">
        <v>231</v>
      </c>
    </row>
    <row r="98" spans="1:12">
      <c r="A98" s="4" t="s">
        <v>47</v>
      </c>
      <c r="B98" s="4" t="s">
        <v>48</v>
      </c>
      <c r="C98" s="14" t="s">
        <v>157</v>
      </c>
      <c r="D98" s="4" t="s">
        <v>158</v>
      </c>
      <c r="E98" s="3" t="s">
        <v>143</v>
      </c>
      <c r="F98" s="4">
        <v>0</v>
      </c>
      <c r="G98" s="4">
        <v>0</v>
      </c>
      <c r="H98" s="4">
        <v>120</v>
      </c>
      <c r="I98" s="4">
        <v>240</v>
      </c>
      <c r="J98" s="4">
        <v>0</v>
      </c>
      <c r="K98" s="4">
        <v>0</v>
      </c>
      <c r="L98" s="4" t="s">
        <v>184</v>
      </c>
    </row>
    <row r="99" spans="1:12">
      <c r="A99" s="4" t="s">
        <v>47</v>
      </c>
      <c r="B99" s="4" t="s">
        <v>48</v>
      </c>
      <c r="C99" s="14" t="s">
        <v>157</v>
      </c>
      <c r="D99" s="4" t="s">
        <v>158</v>
      </c>
      <c r="E99" s="3" t="s">
        <v>143</v>
      </c>
      <c r="F99" s="4">
        <v>0</v>
      </c>
      <c r="G99" s="4">
        <v>0</v>
      </c>
      <c r="H99" s="4">
        <v>120</v>
      </c>
      <c r="I99" s="4">
        <v>120</v>
      </c>
      <c r="J99" s="4">
        <v>0</v>
      </c>
      <c r="K99" s="4">
        <v>0</v>
      </c>
      <c r="L99" s="4" t="s">
        <v>230</v>
      </c>
    </row>
    <row r="100" spans="1:12">
      <c r="A100" s="9" t="s">
        <v>121</v>
      </c>
      <c r="B100" s="9" t="s">
        <v>122</v>
      </c>
      <c r="C100" s="15" t="s">
        <v>157</v>
      </c>
      <c r="D100" s="9" t="s">
        <v>158</v>
      </c>
      <c r="E100" s="8" t="s">
        <v>143</v>
      </c>
      <c r="F100" s="9">
        <v>0</v>
      </c>
      <c r="G100" s="9">
        <v>0</v>
      </c>
      <c r="H100" s="9">
        <v>16</v>
      </c>
      <c r="I100" s="9">
        <v>32</v>
      </c>
      <c r="J100" s="9">
        <v>0</v>
      </c>
      <c r="K100" s="9">
        <v>0</v>
      </c>
      <c r="L100" s="9" t="s">
        <v>166</v>
      </c>
    </row>
    <row r="101" spans="1:12">
      <c r="A101" s="9" t="s">
        <v>121</v>
      </c>
      <c r="B101" s="9" t="s">
        <v>122</v>
      </c>
      <c r="C101" s="15" t="s">
        <v>157</v>
      </c>
      <c r="D101" s="9" t="s">
        <v>158</v>
      </c>
      <c r="E101" s="8" t="s">
        <v>143</v>
      </c>
      <c r="F101" s="9">
        <v>0</v>
      </c>
      <c r="G101" s="9">
        <v>0</v>
      </c>
      <c r="H101" s="9">
        <v>16</v>
      </c>
      <c r="I101" s="9">
        <v>16</v>
      </c>
      <c r="J101" s="9">
        <v>0</v>
      </c>
      <c r="K101" s="9">
        <v>0</v>
      </c>
      <c r="L101" s="9" t="s">
        <v>197</v>
      </c>
    </row>
    <row r="102" spans="1:12">
      <c r="A102" s="4" t="s">
        <v>123</v>
      </c>
      <c r="B102" s="4" t="s">
        <v>124</v>
      </c>
      <c r="C102" s="14" t="s">
        <v>157</v>
      </c>
      <c r="D102" s="4" t="s">
        <v>158</v>
      </c>
      <c r="E102" s="3" t="s">
        <v>143</v>
      </c>
      <c r="F102" s="4">
        <v>0</v>
      </c>
      <c r="G102" s="4">
        <v>0</v>
      </c>
      <c r="H102" s="4">
        <v>16</v>
      </c>
      <c r="I102" s="4">
        <v>32</v>
      </c>
      <c r="J102" s="4">
        <v>0</v>
      </c>
      <c r="K102" s="4">
        <v>0</v>
      </c>
      <c r="L102" s="4" t="s">
        <v>165</v>
      </c>
    </row>
    <row r="103" spans="1:12">
      <c r="A103" s="4" t="s">
        <v>123</v>
      </c>
      <c r="B103" s="4" t="s">
        <v>124</v>
      </c>
      <c r="C103" s="14" t="s">
        <v>157</v>
      </c>
      <c r="D103" s="4" t="s">
        <v>158</v>
      </c>
      <c r="E103" s="3" t="s">
        <v>143</v>
      </c>
      <c r="F103" s="4">
        <v>0</v>
      </c>
      <c r="G103" s="4">
        <v>0</v>
      </c>
      <c r="H103" s="4">
        <v>16</v>
      </c>
      <c r="I103" s="4">
        <v>16</v>
      </c>
      <c r="J103" s="4">
        <v>0</v>
      </c>
      <c r="K103" s="4">
        <v>0</v>
      </c>
      <c r="L103" s="4" t="s">
        <v>197</v>
      </c>
    </row>
    <row r="104" spans="1:12">
      <c r="A104" s="9" t="s">
        <v>125</v>
      </c>
      <c r="B104" s="9" t="s">
        <v>126</v>
      </c>
      <c r="C104" s="15" t="s">
        <v>157</v>
      </c>
      <c r="D104" s="9" t="s">
        <v>158</v>
      </c>
      <c r="E104" s="8" t="s">
        <v>143</v>
      </c>
      <c r="F104" s="9">
        <v>0</v>
      </c>
      <c r="G104" s="9">
        <v>0</v>
      </c>
      <c r="H104" s="9">
        <v>16</v>
      </c>
      <c r="I104" s="9">
        <v>32</v>
      </c>
      <c r="J104" s="9">
        <v>0</v>
      </c>
      <c r="K104" s="9">
        <v>0</v>
      </c>
      <c r="L104" s="9" t="s">
        <v>165</v>
      </c>
    </row>
    <row r="105" spans="1:12">
      <c r="A105" s="9" t="s">
        <v>125</v>
      </c>
      <c r="B105" s="9" t="s">
        <v>126</v>
      </c>
      <c r="C105" s="15" t="s">
        <v>157</v>
      </c>
      <c r="D105" s="9" t="s">
        <v>158</v>
      </c>
      <c r="E105" s="8" t="s">
        <v>143</v>
      </c>
      <c r="F105" s="9">
        <v>0</v>
      </c>
      <c r="G105" s="9">
        <v>0</v>
      </c>
      <c r="H105" s="9">
        <v>16</v>
      </c>
      <c r="I105" s="9">
        <v>16</v>
      </c>
      <c r="J105" s="9">
        <v>0</v>
      </c>
      <c r="K105" s="9">
        <v>0</v>
      </c>
      <c r="L105" s="9" t="s">
        <v>196</v>
      </c>
    </row>
    <row r="106" spans="1:12">
      <c r="A106" s="4" t="s">
        <v>127</v>
      </c>
      <c r="B106" s="4" t="s">
        <v>128</v>
      </c>
      <c r="C106" s="14" t="s">
        <v>157</v>
      </c>
      <c r="D106" s="4" t="s">
        <v>158</v>
      </c>
      <c r="E106" s="3" t="s">
        <v>143</v>
      </c>
      <c r="F106" s="4">
        <v>0</v>
      </c>
      <c r="G106" s="4">
        <v>0</v>
      </c>
      <c r="H106" s="4">
        <v>90</v>
      </c>
      <c r="I106" s="4">
        <v>180</v>
      </c>
      <c r="J106" s="4">
        <v>0</v>
      </c>
      <c r="K106" s="4">
        <v>0</v>
      </c>
      <c r="L106" s="4" t="s">
        <v>164</v>
      </c>
    </row>
    <row r="107" spans="1:12">
      <c r="A107" s="4" t="s">
        <v>127</v>
      </c>
      <c r="B107" s="4" t="s">
        <v>128</v>
      </c>
      <c r="C107" s="14" t="s">
        <v>157</v>
      </c>
      <c r="D107" s="4" t="s">
        <v>158</v>
      </c>
      <c r="E107" s="3" t="s">
        <v>143</v>
      </c>
      <c r="F107" s="4">
        <v>0</v>
      </c>
      <c r="G107" s="4">
        <v>0</v>
      </c>
      <c r="H107" s="4">
        <v>90</v>
      </c>
      <c r="I107" s="4">
        <v>90</v>
      </c>
      <c r="J107" s="4">
        <v>0</v>
      </c>
      <c r="K107" s="4">
        <v>0</v>
      </c>
      <c r="L107" s="4" t="s">
        <v>195</v>
      </c>
    </row>
    <row r="108" spans="1:12">
      <c r="A108" s="9" t="s">
        <v>49</v>
      </c>
      <c r="B108" s="9" t="s">
        <v>50</v>
      </c>
      <c r="C108" s="15" t="s">
        <v>157</v>
      </c>
      <c r="D108" s="9" t="s">
        <v>158</v>
      </c>
      <c r="E108" s="8" t="s">
        <v>143</v>
      </c>
      <c r="F108" s="9">
        <v>0</v>
      </c>
      <c r="G108" s="9">
        <v>0</v>
      </c>
      <c r="H108" s="9">
        <v>96</v>
      </c>
      <c r="I108" s="9">
        <v>192</v>
      </c>
      <c r="J108" s="9">
        <v>0</v>
      </c>
      <c r="K108" s="9">
        <v>0</v>
      </c>
      <c r="L108" s="9" t="s">
        <v>184</v>
      </c>
    </row>
    <row r="109" spans="1:12">
      <c r="A109" s="9" t="s">
        <v>49</v>
      </c>
      <c r="B109" s="9" t="s">
        <v>50</v>
      </c>
      <c r="C109" s="15" t="s">
        <v>157</v>
      </c>
      <c r="D109" s="9" t="s">
        <v>158</v>
      </c>
      <c r="E109" s="8" t="s">
        <v>143</v>
      </c>
      <c r="F109" s="9">
        <v>0</v>
      </c>
      <c r="G109" s="9">
        <v>0</v>
      </c>
      <c r="H109" s="9">
        <v>96</v>
      </c>
      <c r="I109" s="9">
        <v>96</v>
      </c>
      <c r="J109" s="9">
        <v>0</v>
      </c>
      <c r="K109" s="9">
        <v>0</v>
      </c>
      <c r="L109" s="9" t="s">
        <v>229</v>
      </c>
    </row>
    <row r="110" spans="1:12">
      <c r="A110" s="9" t="s">
        <v>129</v>
      </c>
      <c r="B110" s="9" t="s">
        <v>130</v>
      </c>
      <c r="C110" s="15" t="s">
        <v>157</v>
      </c>
      <c r="D110" s="9" t="s">
        <v>158</v>
      </c>
      <c r="E110" s="8" t="s">
        <v>143</v>
      </c>
      <c r="F110" s="9">
        <v>0</v>
      </c>
      <c r="G110" s="9">
        <v>0</v>
      </c>
      <c r="H110" s="9">
        <v>24</v>
      </c>
      <c r="I110" s="9">
        <v>48</v>
      </c>
      <c r="J110" s="9">
        <v>0</v>
      </c>
      <c r="K110" s="9">
        <v>0</v>
      </c>
      <c r="L110" s="9" t="s">
        <v>164</v>
      </c>
    </row>
    <row r="111" spans="1:12">
      <c r="A111" s="9" t="s">
        <v>129</v>
      </c>
      <c r="B111" s="9" t="s">
        <v>130</v>
      </c>
      <c r="C111" s="15" t="s">
        <v>157</v>
      </c>
      <c r="D111" s="9" t="s">
        <v>158</v>
      </c>
      <c r="E111" s="8" t="s">
        <v>143</v>
      </c>
      <c r="F111" s="9">
        <v>0</v>
      </c>
      <c r="G111" s="9">
        <v>0</v>
      </c>
      <c r="H111" s="9">
        <v>24</v>
      </c>
      <c r="I111" s="9">
        <v>24</v>
      </c>
      <c r="J111" s="9">
        <v>0</v>
      </c>
      <c r="K111" s="9">
        <v>0</v>
      </c>
      <c r="L111" s="9" t="s">
        <v>194</v>
      </c>
    </row>
    <row r="112" spans="1:12">
      <c r="A112" s="4" t="s">
        <v>131</v>
      </c>
      <c r="B112" s="4" t="s">
        <v>132</v>
      </c>
      <c r="C112" s="14" t="s">
        <v>157</v>
      </c>
      <c r="D112" s="4" t="s">
        <v>158</v>
      </c>
      <c r="E112" s="3" t="s">
        <v>143</v>
      </c>
      <c r="F112" s="4">
        <v>0</v>
      </c>
      <c r="G112" s="4">
        <v>0</v>
      </c>
      <c r="H112" s="4">
        <v>20</v>
      </c>
      <c r="I112" s="4">
        <v>40</v>
      </c>
      <c r="J112" s="4">
        <v>0</v>
      </c>
      <c r="K112" s="4">
        <v>0</v>
      </c>
      <c r="L112" s="4" t="s">
        <v>163</v>
      </c>
    </row>
    <row r="113" spans="1:12">
      <c r="A113" s="4" t="s">
        <v>131</v>
      </c>
      <c r="B113" s="4" t="s">
        <v>132</v>
      </c>
      <c r="C113" s="14" t="s">
        <v>157</v>
      </c>
      <c r="D113" s="4" t="s">
        <v>158</v>
      </c>
      <c r="E113" s="3" t="s">
        <v>143</v>
      </c>
      <c r="F113" s="4">
        <v>0</v>
      </c>
      <c r="G113" s="4">
        <v>0</v>
      </c>
      <c r="H113" s="4">
        <v>20</v>
      </c>
      <c r="I113" s="4">
        <v>20</v>
      </c>
      <c r="J113" s="4">
        <v>0</v>
      </c>
      <c r="K113" s="4">
        <v>0</v>
      </c>
      <c r="L113" s="4" t="s">
        <v>193</v>
      </c>
    </row>
    <row r="114" spans="1:12">
      <c r="A114" s="9" t="s">
        <v>133</v>
      </c>
      <c r="B114" s="9" t="s">
        <v>134</v>
      </c>
      <c r="C114" s="15" t="s">
        <v>157</v>
      </c>
      <c r="D114" s="9" t="s">
        <v>158</v>
      </c>
      <c r="E114" s="8" t="s">
        <v>143</v>
      </c>
      <c r="F114" s="9">
        <v>0</v>
      </c>
      <c r="G114" s="9">
        <v>0</v>
      </c>
      <c r="H114" s="9">
        <v>9</v>
      </c>
      <c r="I114" s="9">
        <v>18</v>
      </c>
      <c r="J114" s="9">
        <v>0</v>
      </c>
      <c r="K114" s="9">
        <v>0</v>
      </c>
      <c r="L114" s="9" t="s">
        <v>163</v>
      </c>
    </row>
    <row r="115" spans="1:12">
      <c r="A115" s="9" t="s">
        <v>133</v>
      </c>
      <c r="B115" s="9" t="s">
        <v>134</v>
      </c>
      <c r="C115" s="15" t="s">
        <v>157</v>
      </c>
      <c r="D115" s="9" t="s">
        <v>158</v>
      </c>
      <c r="E115" s="8" t="s">
        <v>143</v>
      </c>
      <c r="F115" s="9">
        <v>0</v>
      </c>
      <c r="G115" s="9">
        <v>0</v>
      </c>
      <c r="H115" s="9">
        <v>9</v>
      </c>
      <c r="I115" s="9">
        <v>9</v>
      </c>
      <c r="J115" s="9">
        <v>0</v>
      </c>
      <c r="K115" s="9">
        <v>0</v>
      </c>
      <c r="L115" s="9" t="s">
        <v>192</v>
      </c>
    </row>
    <row r="116" spans="1:12">
      <c r="A116" s="4" t="s">
        <v>135</v>
      </c>
      <c r="B116" s="4" t="s">
        <v>136</v>
      </c>
      <c r="C116" s="14" t="s">
        <v>157</v>
      </c>
      <c r="D116" s="4" t="s">
        <v>158</v>
      </c>
      <c r="E116" s="3" t="s">
        <v>143</v>
      </c>
      <c r="F116" s="4">
        <v>0</v>
      </c>
      <c r="G116" s="4">
        <v>0</v>
      </c>
      <c r="H116" s="4">
        <v>9</v>
      </c>
      <c r="I116" s="4">
        <v>18</v>
      </c>
      <c r="J116" s="4">
        <v>0</v>
      </c>
      <c r="K116" s="4">
        <v>0</v>
      </c>
      <c r="L116" s="4" t="s">
        <v>162</v>
      </c>
    </row>
    <row r="117" spans="1:12">
      <c r="A117" s="4" t="s">
        <v>135</v>
      </c>
      <c r="B117" s="4" t="s">
        <v>136</v>
      </c>
      <c r="C117" s="14" t="s">
        <v>157</v>
      </c>
      <c r="D117" s="4" t="s">
        <v>158</v>
      </c>
      <c r="E117" s="3" t="s">
        <v>143</v>
      </c>
      <c r="F117" s="4">
        <v>0</v>
      </c>
      <c r="G117" s="4">
        <v>0</v>
      </c>
      <c r="H117" s="4">
        <v>9</v>
      </c>
      <c r="I117" s="4">
        <v>9</v>
      </c>
      <c r="J117" s="4">
        <v>0</v>
      </c>
      <c r="K117" s="4">
        <v>0</v>
      </c>
      <c r="L117" s="4" t="s">
        <v>191</v>
      </c>
    </row>
    <row r="118" spans="1:12">
      <c r="A118" s="9" t="s">
        <v>137</v>
      </c>
      <c r="B118" s="9" t="s">
        <v>138</v>
      </c>
      <c r="C118" s="15" t="s">
        <v>157</v>
      </c>
      <c r="D118" s="9" t="s">
        <v>158</v>
      </c>
      <c r="E118" s="8" t="s">
        <v>143</v>
      </c>
      <c r="F118" s="9">
        <v>0</v>
      </c>
      <c r="G118" s="9">
        <v>0</v>
      </c>
      <c r="H118" s="9">
        <v>24</v>
      </c>
      <c r="I118" s="9">
        <v>48</v>
      </c>
      <c r="J118" s="9">
        <v>0</v>
      </c>
      <c r="K118" s="9">
        <v>0</v>
      </c>
      <c r="L118" s="9" t="s">
        <v>162</v>
      </c>
    </row>
    <row r="119" spans="1:12">
      <c r="A119" s="9" t="s">
        <v>137</v>
      </c>
      <c r="B119" s="9" t="s">
        <v>138</v>
      </c>
      <c r="C119" s="15" t="s">
        <v>157</v>
      </c>
      <c r="D119" s="9" t="s">
        <v>158</v>
      </c>
      <c r="E119" s="8" t="s">
        <v>143</v>
      </c>
      <c r="F119" s="9">
        <v>0</v>
      </c>
      <c r="G119" s="9">
        <v>0</v>
      </c>
      <c r="H119" s="9">
        <v>24</v>
      </c>
      <c r="I119" s="9">
        <v>24</v>
      </c>
      <c r="J119" s="9">
        <v>0</v>
      </c>
      <c r="K119" s="9">
        <v>0</v>
      </c>
      <c r="L119" s="9" t="s">
        <v>190</v>
      </c>
    </row>
    <row r="120" spans="1:12">
      <c r="A120" s="4" t="s">
        <v>139</v>
      </c>
      <c r="B120" s="4" t="s">
        <v>140</v>
      </c>
      <c r="C120" s="14" t="s">
        <v>157</v>
      </c>
      <c r="D120" s="4" t="s">
        <v>158</v>
      </c>
      <c r="E120" s="3" t="s">
        <v>143</v>
      </c>
      <c r="F120" s="4">
        <v>0</v>
      </c>
      <c r="G120" s="4">
        <v>0</v>
      </c>
      <c r="H120" s="4">
        <v>24</v>
      </c>
      <c r="I120" s="4">
        <v>48</v>
      </c>
      <c r="J120" s="4">
        <v>0</v>
      </c>
      <c r="K120" s="4">
        <v>0</v>
      </c>
      <c r="L120" s="4" t="s">
        <v>162</v>
      </c>
    </row>
    <row r="121" spans="1:12">
      <c r="A121" s="4" t="s">
        <v>139</v>
      </c>
      <c r="B121" s="4" t="s">
        <v>140</v>
      </c>
      <c r="C121" s="14" t="s">
        <v>157</v>
      </c>
      <c r="D121" s="4" t="s">
        <v>158</v>
      </c>
      <c r="E121" s="3" t="s">
        <v>143</v>
      </c>
      <c r="F121" s="4">
        <v>0</v>
      </c>
      <c r="G121" s="4">
        <v>0</v>
      </c>
      <c r="H121" s="4">
        <v>24</v>
      </c>
      <c r="I121" s="4">
        <v>24</v>
      </c>
      <c r="J121" s="4">
        <v>0</v>
      </c>
      <c r="K121" s="4">
        <v>0</v>
      </c>
      <c r="L121" s="4" t="s">
        <v>190</v>
      </c>
    </row>
  </sheetData>
  <autoFilter ref="A1:L1" xr:uid="{EE25F4DF-3250-44A6-AC52-29645AC84486}"/>
  <hyperlinks>
    <hyperlink ref="E120" r:id="rId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2322B28-A5A3-4605-B9D8-C34888335C57}"/>
    <hyperlink ref="E118" r:id="rId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F2EFD40-69FD-4B37-8690-CE0CBFE7F5E0}"/>
    <hyperlink ref="E116" r:id="rId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94CAEEA-528F-441F-B652-22E3189AFFC6}"/>
    <hyperlink ref="E114" r:id="rId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FF96103-34B7-4D73-ABDC-0F333B9FA2E0}"/>
    <hyperlink ref="E112" r:id="rId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A3A77FB5-37CA-43AA-B44A-645996A0D5A3}"/>
    <hyperlink ref="E110" r:id="rId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0CB2B6E-A81D-4775-9907-2CF5AE559755}"/>
    <hyperlink ref="E106" r:id="rId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49E30B7-4E7C-40EF-848A-BC43F6B5E410}"/>
    <hyperlink ref="E104" r:id="rId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A79EE31-DDD2-4601-AF2F-005CB89D61AA}"/>
    <hyperlink ref="E102" r:id="rId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CE5D1B9-6680-49FD-A18E-80E187535D86}"/>
    <hyperlink ref="E100" r:id="rId1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D31AE12-F805-4503-8D50-C0EABB94B849}"/>
    <hyperlink ref="E88" r:id="rId1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EFC3B58-1367-4B1D-B263-2CE4F24C9BBA}"/>
    <hyperlink ref="E86" r:id="rId1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0DA953E-679A-4508-B79C-238150FDB165}"/>
    <hyperlink ref="E84" r:id="rId1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19E0EBAF-D46F-4AFA-9402-2EF4C719292A}"/>
    <hyperlink ref="E82" r:id="rId1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4AFF88E-072E-4535-9B0D-54D19FE82376}"/>
    <hyperlink ref="E80" r:id="rId1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4047DA3-4E5F-473D-B815-81D4C95AA3CB}"/>
    <hyperlink ref="E78" r:id="rId1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094C1FCA-6C2F-416A-A19F-EF4FC02E98CB}"/>
    <hyperlink ref="E76" r:id="rId1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261E349-0A8D-4EA6-A62E-E3144C32ED78}"/>
    <hyperlink ref="E74" r:id="rId1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D0FC20E-9E9B-4234-B961-759F199D967D}"/>
    <hyperlink ref="E72" r:id="rId1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62B0569-B6AC-4B5A-8F09-FBCE035B95BE}"/>
    <hyperlink ref="E70" r:id="rId2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5FD5F583-C022-48CF-A743-81A602937198}"/>
    <hyperlink ref="E68" r:id="rId2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855D3C0-AC03-4DBD-8A50-1D482DC293F6}"/>
    <hyperlink ref="E66" r:id="rId2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9BB7ED01-D5A9-4C67-8698-B82F807749E8}"/>
    <hyperlink ref="E64" r:id="rId2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ECA75B04-6790-4207-ADE6-76D34B0D5DE6}"/>
    <hyperlink ref="E62" r:id="rId2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F7F0CD8-4C92-4C35-B9D8-C75FCC0D9860}"/>
    <hyperlink ref="E60" r:id="rId2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BA78860-7922-4E6A-949A-D3CDD8FAE9DA}"/>
    <hyperlink ref="E58" r:id="rId2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98F6B72-5C9B-4B22-B714-4D15E5262A76}"/>
    <hyperlink ref="E56" r:id="rId2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8FF951C6-6C9D-4254-AEDB-B480697A5943}"/>
    <hyperlink ref="E54" r:id="rId2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27BA99F-6734-4950-8A56-8BC36E810B98}"/>
    <hyperlink ref="E50" r:id="rId2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C65D8E4-15E4-40C0-B3CD-0C290C48D963}"/>
    <hyperlink ref="E48" r:id="rId3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30D3DCC8-B6E6-4042-A7EC-BB51F4795041}"/>
    <hyperlink ref="E46" r:id="rId31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97DC967-FD0B-4BD3-9CC8-5DE7D6C22A46}"/>
    <hyperlink ref="E44" r:id="rId32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0923B79-ABFE-43F5-AC72-3BC420A4E405}"/>
    <hyperlink ref="E38" r:id="rId33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A53D14A-CC9F-4904-8D6B-8C716990F0F6}"/>
    <hyperlink ref="E36" r:id="rId34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6343B44-0900-4A05-B0E9-EFABDDA72368}"/>
    <hyperlink ref="E34" r:id="rId35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2D11779-27FD-4CA8-B2F9-E56EC4209372}"/>
    <hyperlink ref="E32" r:id="rId36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67470657-B395-44D9-A064-A82B31BA8598}"/>
    <hyperlink ref="E28" r:id="rId37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71673E8C-86B2-4F26-99F9-6E075EA82A9A}"/>
    <hyperlink ref="E26" r:id="rId38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240BE3F0-EC25-4075-B120-3BFECE5D7B27}"/>
    <hyperlink ref="E24" r:id="rId39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B16649B5-A519-4311-B09A-7BD80B12B1D2}"/>
    <hyperlink ref="E22" r:id="rId40" display="https://psos.hktvmall.com/hktv-psos/inventory/detail?current_page=1&amp;page_size=100&amp;store_code=&amp;product_code=&amp;reference_number=IS01449606&amp;from_date=2025/11/25&amp;to_date=2025/11/25&amp;available_quantity_change_only=&amp;reference_type=&amp;adjustment_type=" xr:uid="{C3ECEB40-FE43-40EB-9460-09086A60E7C1}"/>
    <hyperlink ref="E20" r:id="rId4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AA405BC-703F-4A36-B4C0-5F27C05DC26D}"/>
    <hyperlink ref="E10" r:id="rId4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7028BCA-F94F-438B-8496-E3D27357E276}"/>
    <hyperlink ref="E6" r:id="rId4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E8889C8-4B1C-4DAF-957A-C4AC78531DFE}"/>
    <hyperlink ref="E4" r:id="rId4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77C7C98-5762-4602-AC53-C5AA2FD07262}"/>
    <hyperlink ref="E2" r:id="rId4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33E35F2B-5E62-4CE9-8B2F-23D1FB1E3CC8}"/>
    <hyperlink ref="E108" r:id="rId4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88FAD62-66B0-4718-B60F-C218AE7939ED}"/>
    <hyperlink ref="E98" r:id="rId4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E17A8D8-F4FD-4068-B81E-DFC8B8C9AB14}"/>
    <hyperlink ref="E96" r:id="rId4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CF5EA1F-FA5C-4042-B330-B8865204D1B9}"/>
    <hyperlink ref="E94" r:id="rId4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30BEBBD-E50C-46A0-B6EE-4F2F10F6190E}"/>
    <hyperlink ref="E92" r:id="rId5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B1A2D31-4AF3-47D4-B43C-3949EB99EF50}"/>
    <hyperlink ref="E90" r:id="rId5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B104B8C-1F6E-4A91-A7F7-C9563282900B}"/>
    <hyperlink ref="E30" r:id="rId5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8003661-FAC3-47C1-8FFC-DDB3A00A16C7}"/>
    <hyperlink ref="E8" r:id="rId5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5BAEDB4-8851-487B-A38C-E8B8826FF37F}"/>
    <hyperlink ref="E12" r:id="rId5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A1373EBE-2C25-48BD-A9A8-1CB8CABB215C}"/>
    <hyperlink ref="E14" r:id="rId5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371A228-D8D6-4614-B1F7-A2DC2CD6D7EF}"/>
    <hyperlink ref="E52" r:id="rId5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6742ACA-B8EA-435E-BA1C-CD63A6B77E27}"/>
    <hyperlink ref="E18" r:id="rId5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1753E17-FE51-4BD0-9853-FE0A6509DB47}"/>
    <hyperlink ref="E16" r:id="rId5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01B4115-25B1-4AE4-A0C8-9D7BDBD1D06A}"/>
    <hyperlink ref="E42" r:id="rId5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FE32288-3747-43F1-A269-63FAE72AD08F}"/>
    <hyperlink ref="E40" r:id="rId6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73AA0BB-475D-4FC8-9397-7802930E33D6}"/>
    <hyperlink ref="E121" r:id="rId6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8B1DBDB-627C-42F0-A189-2C57CA06C7F3}"/>
    <hyperlink ref="E119" r:id="rId6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065AD87-FF2A-4B3C-99AD-0F8DF6E6AF3B}"/>
    <hyperlink ref="E117" r:id="rId6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37A7D30-990E-4E10-8696-1C6FF4812B2B}"/>
    <hyperlink ref="E115" r:id="rId6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811A9D7-AAC4-4E62-BA83-15FD7E9FB229}"/>
    <hyperlink ref="E113" r:id="rId6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BA18060-B82F-407B-ADA8-C52C717EE740}"/>
    <hyperlink ref="E111" r:id="rId6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594A685-A0E7-46A0-8DD6-3F84E34653B8}"/>
    <hyperlink ref="E107" r:id="rId6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433D12C-85A4-4415-B724-324801985CC2}"/>
    <hyperlink ref="E105" r:id="rId6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4736CD6-09D6-4049-A78B-2427434F76CE}"/>
    <hyperlink ref="E103" r:id="rId6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194E5CA-472D-462E-A911-5EB20B7053EE}"/>
    <hyperlink ref="E101" r:id="rId7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AF819189-9DB6-4C65-9220-925FFBD89D16}"/>
    <hyperlink ref="E89" r:id="rId7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3DC25EE-0A97-4E26-B604-331AEEB60F74}"/>
    <hyperlink ref="E87" r:id="rId7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CC5645E-62E0-4C8D-B685-3A8ED91606BA}"/>
    <hyperlink ref="E85" r:id="rId7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ED1ABF5-BB8C-4696-9C4A-5597B791B97C}"/>
    <hyperlink ref="E83" r:id="rId7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AD198C3-9DD7-4962-A58C-DA37F5FE3B94}"/>
    <hyperlink ref="E81" r:id="rId7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F8B8978-493C-4FA6-AEB4-BDD11B3CADA1}"/>
    <hyperlink ref="E79" r:id="rId7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3902789-C648-4587-9EE7-455C8C4071EE}"/>
    <hyperlink ref="E77" r:id="rId7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80DB752-9922-4EDD-8597-933796F3A6F6}"/>
    <hyperlink ref="E75" r:id="rId7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0CFA4A7-3E3F-4683-A302-9B727CCD831B}"/>
    <hyperlink ref="E73" r:id="rId7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D6BBF5C-49DC-42CB-A297-BAC9928FFC9C}"/>
    <hyperlink ref="E71" r:id="rId8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37ABA01-8CA6-4165-A87F-1A50A66E79BA}"/>
    <hyperlink ref="E69" r:id="rId8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CB3B5A5-83B0-4AFD-BF8B-392C81E356F0}"/>
    <hyperlink ref="E67" r:id="rId8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694A29F-0D2F-413B-9BEF-80B78EEC853F}"/>
    <hyperlink ref="E65" r:id="rId8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047F4CD-D33F-449C-808F-DBB13D81F954}"/>
    <hyperlink ref="E63" r:id="rId8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A2FD243-9DFE-4B3C-A11D-EA1D63B34CE3}"/>
    <hyperlink ref="E61" r:id="rId8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CE43BDD-B0F8-4237-89EA-F08256775251}"/>
    <hyperlink ref="E59" r:id="rId8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EAD2842E-FB2A-4C9C-BACD-38DA52308618}"/>
    <hyperlink ref="E57" r:id="rId8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475696D-FCE7-4A22-9882-4D70D89A6BA7}"/>
    <hyperlink ref="E55" r:id="rId8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486DBA0-906C-490B-AA1B-9351F7147AE1}"/>
    <hyperlink ref="E51" r:id="rId8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161DD9C-6F93-4728-8A79-DE2C4A9C4738}"/>
    <hyperlink ref="E49" r:id="rId9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CC18389-A0AA-427B-B25D-837CC8D255A6}"/>
    <hyperlink ref="E47" r:id="rId9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08A3E247-2A21-42D9-B984-1D988DB9D68E}"/>
    <hyperlink ref="E45" r:id="rId9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38F527B-9D35-4206-A6B3-2256C7870B1D}"/>
    <hyperlink ref="E39" r:id="rId9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95BCFA53-3194-4689-B70C-FEA8CFE81834}"/>
    <hyperlink ref="E37" r:id="rId9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C35D3F9-BFA5-4999-8DE5-9328A014BA5E}"/>
    <hyperlink ref="E35" r:id="rId9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7A296BC-D225-4331-A9E3-DA6581FCE40C}"/>
    <hyperlink ref="E33" r:id="rId9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6B82CAC3-79EB-40B1-A9AE-69849A0539F2}"/>
    <hyperlink ref="E29" r:id="rId9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AE97A203-D30C-4098-8FB4-2FF1D73C88D9}"/>
    <hyperlink ref="E27" r:id="rId9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1396BECF-6780-4B62-8DF5-7A2236DF6DD4}"/>
    <hyperlink ref="E25" r:id="rId9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1095A84-E447-4927-BAF7-A03D2A05D7FB}"/>
    <hyperlink ref="E23" r:id="rId10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FB71C8E-A3B3-488B-9244-DADCE25FD38C}"/>
    <hyperlink ref="E21" r:id="rId10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554D26B-66F2-4F56-AC4C-1944012998E4}"/>
    <hyperlink ref="E11" r:id="rId10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5CB7E3A-9480-44CD-B1B0-1F2263F8E5D9}"/>
    <hyperlink ref="E7" r:id="rId10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D0531863-3411-40B8-9E32-E8A31015B466}"/>
    <hyperlink ref="E5" r:id="rId10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274D1F6A-A1E0-4438-AB18-F6D29309C010}"/>
    <hyperlink ref="E3" r:id="rId10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6F2DBDB-B893-4388-939C-3E705BE0D12B}"/>
    <hyperlink ref="E109" r:id="rId10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03F6960-60A0-43E9-A17D-8749CB2C476E}"/>
    <hyperlink ref="E99" r:id="rId10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4BB49E79-87DB-4B35-913F-5984609E1170}"/>
    <hyperlink ref="E97" r:id="rId10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552FA7A-886B-430A-9CC8-5851E872AD19}"/>
    <hyperlink ref="E95" r:id="rId10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EDFFA53-D8B1-48B8-B6D4-78127A7342C4}"/>
    <hyperlink ref="E93" r:id="rId11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E6442C5-91D5-4327-9BCE-B2D13325FD66}"/>
    <hyperlink ref="E91" r:id="rId111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BAC347C2-D7D0-4E8E-A014-65592CB990BA}"/>
    <hyperlink ref="E31" r:id="rId112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AC3623F7-E060-44A6-9B0F-43C46664D2FF}"/>
    <hyperlink ref="E9" r:id="rId113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97A96A8-81EE-452A-95A5-20C290F95465}"/>
    <hyperlink ref="E13" r:id="rId114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B0D4D44-3389-49EA-9B16-4BDF227C3A7D}"/>
    <hyperlink ref="E15" r:id="rId115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80A8D20D-CAD2-4225-A6CF-0CFFA0F79709}"/>
    <hyperlink ref="E53" r:id="rId116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53C158B5-4499-45C3-9077-4A2A64F19650}"/>
    <hyperlink ref="E19" r:id="rId117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2B325E80-426D-4DBD-908A-42B2F952E869}"/>
    <hyperlink ref="E17" r:id="rId118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CFB0C531-D8A6-4EFD-B286-445DD8F60D47}"/>
    <hyperlink ref="E43" r:id="rId119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7ACADA60-09A0-48B6-96C4-4219010D149A}"/>
    <hyperlink ref="E41" r:id="rId120" display="https://psos.hktvmall.com/hktv-psos/inventory/detail?current_page=2&amp;page_size=100&amp;store_code=&amp;product_code=&amp;reference_number=IS01449606&amp;from_date=2025/11/25&amp;to_date=2025/11/25&amp;available_quantity_change_only=&amp;reference_type=&amp;adjustment_type=" xr:uid="{FA17B836-6466-4284-A1F7-92A40A9F19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store</vt:lpstr>
      <vt:lpstr>60 sku - o qty &gt;0</vt:lpstr>
      <vt:lpstr>related inventory log 25 Nov</vt:lpstr>
      <vt:lpstr>60 duplicate arriving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 Wai Lam</dc:creator>
  <cp:lastModifiedBy>Fong Wai Lam</cp:lastModifiedBy>
  <dcterms:created xsi:type="dcterms:W3CDTF">2026-01-08T04:05:59Z</dcterms:created>
  <dcterms:modified xsi:type="dcterms:W3CDTF">2026-01-08T06:56:20Z</dcterms:modified>
</cp:coreProperties>
</file>